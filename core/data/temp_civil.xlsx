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Datas" sheetId="1" state="visible" r:id="rId2"/>
    <sheet name="Group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<sst xmlns="http://schemas.openxmlformats.org/spreadsheetml/2006/main" count="286" uniqueCount="87">
  <si>
    <t xml:space="preserve">Datas for the work of Providing temporary Security lighting arrangements in  connection with visit of His Excellency President of India at Rashtrapathi Nilayam at Bollaram, Secunderabad for the year December-2025 </t>
  </si>
  <si>
    <t xml:space="preserve">Hire charges for 4 way TPN DB</t>
  </si>
  <si>
    <t xml:space="preserve">Data</t>
  </si>
  <si>
    <t xml:space="preserve">Hire charges for Supply and  maintaining towards supply and fixing of 4 way TPN DB with 1 No 125 TP MCCB and 12Nos 6-32A 10kA SP MCBs including erection and dismantling and cost and conveyance of all materials having suitable size  earth lead and labour charges complete.</t>
  </si>
  <si>
    <t xml:space="preserve">Capital Cost</t>
  </si>
  <si>
    <t xml:space="preserve">ELEC-2.17.6(b)</t>
  </si>
  <si>
    <t xml:space="preserve">Supply of 4 Way TPN DB Horizontal with IP 43 Protection as per IS:13032 and suitable for 12 Nos S.P. out goings and for 1 No 4 pole  Incommer etc complete. Makes :   Gold Medalmilltec/Sanjo</t>
  </si>
  <si>
    <t xml:space="preserve">No</t>
  </si>
  <si>
    <t xml:space="preserve">ELEC-2.8.2 (c)</t>
  </si>
  <si>
    <t xml:space="preserve">Supply of 125A 3 Pole MCCB, Adjustable, Confirms to IS/IEC 60947-2 having Breaking Capacity 25 KA with thermal magnetic release  Panel Mounted. Makes :  Havells / HPL / Indo Asian / Benlo/Delton / Standard..</t>
  </si>
  <si>
    <t xml:space="preserve">ELEC-2.14.3(a)</t>
  </si>
  <si>
    <t xml:space="preserve">Supply of 6-32A 10KA SP MCB, C/D Curve ISI Mark.  Makes :Gold Medal/ Milltec / Sputnik /Benlo/GM./Stanjoman</t>
  </si>
  <si>
    <t xml:space="preserve">Nos</t>
  </si>
  <si>
    <t xml:space="preserve">Capital cost  Rs. </t>
  </si>
  <si>
    <t xml:space="preserve">Life in days: 10 Years i.e15 days in a year=150</t>
  </si>
  <si>
    <t xml:space="preserve">Depreciation=CapitalCost(C.C.)/life indays</t>
  </si>
  <si>
    <t xml:space="preserve">Interest:@12% on C.C./Days in a year</t>
  </si>
  <si>
    <t xml:space="preserve">Days</t>
  </si>
  <si>
    <t xml:space="preserve">Storage charges:@1 % -do-</t>
  </si>
  <si>
    <t xml:space="preserve">Transportation Charges@ 2 %-Do-</t>
  </si>
  <si>
    <t xml:space="preserve">Labour charges</t>
  </si>
  <si>
    <t xml:space="preserve">I-5</t>
  </si>
  <si>
    <t xml:space="preserve">i.Skilled Electrician</t>
  </si>
  <si>
    <t xml:space="preserve">II</t>
  </si>
  <si>
    <t xml:space="preserve">ii.Helper</t>
  </si>
  <si>
    <t xml:space="preserve">Rate per Day </t>
  </si>
  <si>
    <t xml:space="preserve">80% of capital cost</t>
  </si>
  <si>
    <t xml:space="preserve">Base rate</t>
  </si>
  <si>
    <t xml:space="preserve"> Hire charges per 1 day  - rounded  of to  nearest Rs.1</t>
  </si>
  <si>
    <t xml:space="preserve">Multi. Factor </t>
  </si>
  <si>
    <t xml:space="preserve"> Hire charges per 2 days  - rounded  of to  nearest Rs.1</t>
  </si>
  <si>
    <t xml:space="preserve"> Hire charges per 3 days  - rounded  of to  nearest Rs.1</t>
  </si>
  <si>
    <t xml:space="preserve"> Hire charges per 4 days  - rounded  of to  nearest Rs.1</t>
  </si>
  <si>
    <t xml:space="preserve"> Hire charges per 5 days  - rounded  of to  nearest Rs.1</t>
  </si>
  <si>
    <t xml:space="preserve"> Hire charges per 6 days  - rounded  of to  nearest Rs.1- Note: Restricted to capital cost</t>
  </si>
  <si>
    <t xml:space="preserve"> Hire charges per 7 day  - rounded  of to  nearest Rs.1  Note: Restricted to capital cost</t>
  </si>
  <si>
    <t xml:space="preserve"> Hire charges per 8 days  - rounded  of to  nearest Rs.1 Note: Restricted to capital cost</t>
  </si>
  <si>
    <t xml:space="preserve"> Hire charges per 10 days  - rounded  of to  nearest Rs.1 Note: Restricted to capital cost</t>
  </si>
  <si>
    <t xml:space="preserve"> Hire charges per 11 days  - rounded  of to  nearest Rs.1 Note: Restricted to capital cost</t>
  </si>
  <si>
    <t xml:space="preserve"> Hire charges per 12 days  - rounded  of to  nearest Rs.1 Note: Restricted to capital cost</t>
  </si>
  <si>
    <t xml:space="preserve"> Hire charges per 13 days  - rounded  of to  nearest Rs.1 Note: Restricted to capital cost</t>
  </si>
  <si>
    <t xml:space="preserve">Hire charges for  200A 4 pole Changeover </t>
  </si>
  <si>
    <t xml:space="preserve">SD16.8(d)</t>
  </si>
  <si>
    <t xml:space="preserve">Hire charges for supply and maintaining towards supply and fixing of 200A 4 pole Changeover / TPN switches along with SS enclosure having two points for earth connection including erection and dismantling and connecting required size earth lead, and cost and conveyance of all materials and labour charges complete for 2 days
</t>
  </si>
  <si>
    <t xml:space="preserve">ELEC-2.2.2(d)</t>
  </si>
  <si>
    <t xml:space="preserve">Supply of 200A 4 pole Changeover / TPN switch in SS enclosure . makes Makes : ABB / Siemens / Havells/Indo asian/Standard /C&amp;S/Benlo. </t>
  </si>
  <si>
    <t xml:space="preserve">Life in Days:10 Years i.e.10X15=150 Days</t>
  </si>
  <si>
    <t xml:space="preserve">Maintenance:50 % of Depreciation</t>
  </si>
  <si>
    <t xml:space="preserve"> Hire charges per 1 day  - rounded  of to  nearest Rs. 1</t>
  </si>
  <si>
    <t xml:space="preserve"> Hire charges per 6 days  - rounded  of to  nearest Rs.2</t>
  </si>
  <si>
    <t xml:space="preserve"> Hire charges per 7 days  - rounded  of to  nearest Rs.3</t>
  </si>
  <si>
    <t xml:space="preserve"> Hire charges per 8 days  - rounded  of to  nearest Rs.1</t>
  </si>
  <si>
    <t xml:space="preserve"> Hire charges per 9 days  - rounded  of to  nearest Rs.2</t>
  </si>
  <si>
    <t xml:space="preserve"> Hire charges per 10 days  - rounded  of to  nearest Rs.1 </t>
  </si>
  <si>
    <t xml:space="preserve"> Hire charges per 11 days  - rounded  of to  nearest Rs.1 </t>
  </si>
  <si>
    <t xml:space="preserve"> Hire charges per 12 days  - rounded  of to  nearest Rs.1 </t>
  </si>
  <si>
    <t xml:space="preserve"> Hire charges per 13 days  - rounded  of to  nearest Rs.1 </t>
  </si>
  <si>
    <t xml:space="preserve">Hire charges for strip lights( Navar Patta )</t>
  </si>
  <si>
    <t xml:space="preserve"> SD16.1</t>
  </si>
  <si>
    <t xml:space="preserve">Hire charges for temporary illumination consisting of strip lights / LED lights (Navar Patta with 300 Nos bulbs) complete with holders, required wire leads erected and dismantled including required scaffolding and T&amp;P including cost and conveyance of all materials and all labour charges etc., complete. </t>
  </si>
  <si>
    <t xml:space="preserve">ELEC-10.4.6</t>
  </si>
  <si>
    <t xml:space="preserve">3 to 6.2 Volt series bulb with navar plate
LEDs/normal bulbs.(1000 Nos.).</t>
  </si>
  <si>
    <t xml:space="preserve">Life in Days: 1 Year i.e.1X60=60 Days</t>
  </si>
  <si>
    <t xml:space="preserve">Rate per Day per 1000 Nos</t>
  </si>
  <si>
    <t xml:space="preserve">Hire charges for series lights with miniature lamps</t>
  </si>
  <si>
    <t xml:space="preserve">Sd16.8</t>
  </si>
  <si>
    <t xml:space="preserve">Hire charges for temporary illumination consisting of white color series lights with miniature lamps of 6.2 volts / LED lights with holders, bulbs, with required wire leads erected and dismantled dismantled including required scaffolding and T&amp;P including all labour costs </t>
  </si>
  <si>
    <t xml:space="preserve">ELEC-10.4.5</t>
  </si>
  <si>
    <t xml:space="preserve">3 to 6.2 Volt series bulb LEDs/Normal bulbs (1000 Nos.). </t>
  </si>
  <si>
    <t xml:space="preserve">Hire charges for Mist Air Cooler/Jumbo air cooler </t>
  </si>
  <si>
    <t xml:space="preserve">Hire Charges for providing Mist Air Cooler/Jumbo air cooler of Size 6"X24" containg water container including transportation,errection with necessary earth lead and maintaing with sufficent water as required including connection etc complete</t>
  </si>
  <si>
    <t xml:space="preserve">Approved rate in Previous Year T I Est</t>
  </si>
  <si>
    <t xml:space="preserve">Hire Charges for providing Mist Air Cooler/Jumbo air cooler of Sixe 6"X24" containg water container including transportation,errection with necessary earth lead and maintaing with sufficent water as required including connection etc complete </t>
  </si>
  <si>
    <t xml:space="preserve">or say per Day</t>
  </si>
  <si>
    <t xml:space="preserve">Hire charges for Tower type air condtioning unit</t>
  </si>
  <si>
    <t xml:space="preserve">Hire Charges for provided tower type air condtioning unit 5.5 Tr complete with suitable copper pipe with tempoary frame and required materials achieve cooling temparature connected with necessary mains switch gear with continous earth lead during dunction duly dismatlled including cost and convenace of all material labour charges etc complete for 2 days.  </t>
  </si>
  <si>
    <t xml:space="preserve">Approved rate in Secretariat Inauguration TI Work</t>
  </si>
  <si>
    <t xml:space="preserve">Ton</t>
  </si>
  <si>
    <t xml:space="preserve">Hire charges for  54 X3W  LED RGB Parkhens light fitting</t>
  </si>
  <si>
    <t xml:space="preserve">Hire charges for Temporary illumination, consisting of 54 X3W  LED RGB Parkhens light fitting non integral, weather proof die cast alluminium housing with IP66 protection with control gear box, conrol gear with required cables, holder, mains  duly errected with required scaffolding and dismantled on exising poles  including cost and conveyance of all materials and labour charges etc., complete for 1 day.</t>
  </si>
  <si>
    <t xml:space="preserve">Supply of 54 W  LED RGB Parkhens light luminaire with Non - integral weather proof diecast alluminium housing  with IP66 protection with Control Gear Box without lamp of makes VIN (MR)</t>
  </si>
  <si>
    <t xml:space="preserve">Life in Days:1 Year i.e.3X60=180 Days</t>
  </si>
  <si>
    <t xml:space="preserve">Item Name</t>
  </si>
  <si>
    <t xml:space="preserve">Group</t>
  </si>
  <si>
    <t xml:space="preserve">Panel Boards</t>
  </si>
  <si>
    <t xml:space="preserve">Lighting</t>
  </si>
  <si>
    <t xml:space="preserve">Air Coolers</t>
  </si>
</sst>
</file>

<file path=xl/styles.xml><?xml version="1.0" encoding="utf-8"?>
<styleSheet xmlns="http://schemas.openxmlformats.org/spreadsheetml/2006/main">
  <numFmts count="6">
    <numFmt numFmtId="164" formatCode="General"/>
    <numFmt numFmtId="165" formatCode="_(\$* #,##0.00_);_(\$* \(#,##0.00\);_(\$* \-??_);_(@_)"/>
    <numFmt numFmtId="166" formatCode="0.00"/>
    <numFmt numFmtId="167" formatCode="0.00;[RED]0.00"/>
    <numFmt numFmtId="168" formatCode="0"/>
    <numFmt numFmtId="169" formatCode="0.0"/>
  </numFmts>
  <fonts count="11">
    <font>
      <sz val="11"/>
      <color rgb="FF000000"/>
      <name val="Calibri"/>
      <family val="2"/>
      <charset val="1"/>
    </font>
    <font>
      <sz val="10"/>
      <name val="Arial"/>
      <family val="0"/>
    </font>
    <font>
      <sz val="10"/>
      <name val="Arial"/>
      <family val="0"/>
    </font>
    <font>
      <sz val="10"/>
      <name val="Arial"/>
      <family val="0"/>
    </font>
    <font>
      <sz val="10"/>
      <name val="Arial"/>
      <family val="2"/>
      <charset val="1"/>
    </font>
    <font>
      <b val="true"/>
      <sz val="11"/>
      <color rgb="FF000000"/>
      <name val="Calibri"/>
      <family val="2"/>
      <charset val="1"/>
    </font>
    <font>
      <b val="true"/>
      <sz val="9"/>
      <color rgb="FFFF0000"/>
      <name val="Arial"/>
      <family val="2"/>
      <charset val="1"/>
    </font>
    <font>
      <b val="true"/>
      <sz val="9"/>
      <color rgb="FF000000"/>
      <name val="Arial"/>
      <family val="2"/>
      <charset val="1"/>
    </font>
    <font>
      <sz val="9"/>
      <name val="Arial"/>
      <family val="2"/>
      <charset val="1"/>
    </font>
    <font>
      <b val="true"/>
      <sz val="9"/>
      <name val="Arial"/>
      <family val="2"/>
      <charset val="1"/>
    </font>
    <font>
      <b val="true"/>
      <sz val="11"/>
      <color rgb="FFFF0000"/>
      <name val="Calibri"/>
      <family val="2"/>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justify"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justify" vertical="center" textRotation="0" wrapText="true" indent="0" shrinkToFit="false"/>
      <protection locked="true" hidden="false"/>
    </xf>
    <xf numFmtId="166" fontId="8"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justify" vertical="center" textRotation="0" wrapText="true" indent="0" shrinkToFit="false"/>
      <protection locked="true" hidden="false"/>
    </xf>
    <xf numFmtId="167" fontId="8" fillId="3" borderId="1" xfId="0" applyFont="true" applyBorder="true" applyAlignment="true" applyProtection="false">
      <alignment horizontal="center" vertical="center" textRotation="0" wrapText="false" indent="0" shrinkToFit="false"/>
      <protection locked="true" hidden="false"/>
    </xf>
    <xf numFmtId="166" fontId="9"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6" fontId="8"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justify" vertical="top" textRotation="0" wrapText="true" indent="0" shrinkToFit="false"/>
      <protection locked="true" hidden="false"/>
    </xf>
    <xf numFmtId="164" fontId="7" fillId="0" borderId="2"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8" fontId="8" fillId="3" borderId="1" xfId="0" applyFont="true" applyBorder="true" applyAlignment="true" applyProtection="false">
      <alignment horizontal="center" vertical="center" textRotation="0" wrapText="true" indent="0" shrinkToFit="false"/>
      <protection locked="true" hidden="false"/>
    </xf>
    <xf numFmtId="169" fontId="8" fillId="3" borderId="1" xfId="0" applyFont="true" applyBorder="true" applyAlignment="true" applyProtection="false">
      <alignment horizontal="center" vertical="center" textRotation="0" wrapText="true" indent="0" shrinkToFit="false"/>
      <protection locked="true" hidden="false"/>
    </xf>
    <xf numFmtId="164" fontId="8" fillId="3" borderId="1" xfId="23" applyFont="true" applyBorder="true" applyAlignment="true" applyProtection="false">
      <alignment horizontal="justify" vertical="top" textRotation="0" wrapText="true" indent="0" shrinkToFit="false"/>
      <protection locked="true" hidden="false"/>
    </xf>
    <xf numFmtId="164" fontId="9" fillId="3" borderId="1" xfId="0" applyFont="true" applyBorder="true" applyAlignment="true" applyProtection="false">
      <alignment horizontal="justify" vertical="top" textRotation="0" wrapText="true" indent="0" shrinkToFit="false"/>
      <protection locked="true" hidden="false"/>
    </xf>
    <xf numFmtId="166" fontId="9" fillId="2" borderId="1" xfId="0" applyFont="true" applyBorder="true" applyAlignment="true" applyProtection="false">
      <alignment horizontal="center" vertical="center" textRotation="0" wrapText="tru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urrency 2 2" xfId="20"/>
    <cellStyle name="Normal 16" xfId="21"/>
    <cellStyle name="Normal 17" xfId="22"/>
    <cellStyle name="Normal 3" xfId="23"/>
    <cellStyle name="Normal 8" xfId="24"/>
    <cellStyle name="Normal 9" xfId="2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true"/>
  </sheetPr>
  <dimension ref="A1:J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78" activeCellId="0" sqref="C178:C191"/>
    </sheetView>
  </sheetViews>
  <sheetFormatPr defaultRowHeight="15" zeroHeight="false" outlineLevelRow="0" outlineLevelCol="0"/>
  <cols>
    <col collapsed="false" customWidth="true" hidden="false" outlineLevel="0" max="1" min="1" style="0" width="5.43"/>
    <col collapsed="false" customWidth="true" hidden="false" outlineLevel="0" max="2" min="2" style="0" width="11.99"/>
    <col collapsed="false" customWidth="true" hidden="false" outlineLevel="0" max="3" min="3" style="0" width="6.28"/>
    <col collapsed="false" customWidth="true" hidden="false" outlineLevel="0" max="4" min="4" style="0" width="38.7"/>
    <col collapsed="false" customWidth="true" hidden="false" outlineLevel="0" max="5" min="5" style="0" width="6.28"/>
    <col collapsed="false" customWidth="true" hidden="false" outlineLevel="0" max="6" min="6" style="0" width="4.86"/>
    <col collapsed="false" customWidth="true" hidden="false" outlineLevel="0" max="7" min="7" style="0" width="10.42"/>
    <col collapsed="false" customWidth="true" hidden="false" outlineLevel="0" max="8" min="8" style="0" width="5.86"/>
    <col collapsed="false" customWidth="true" hidden="false" outlineLevel="0" max="9" min="9" style="0" width="4.86"/>
    <col collapsed="false" customWidth="true" hidden="false" outlineLevel="0" max="10" min="10" style="0" width="10.42"/>
    <col collapsed="false" customWidth="true" hidden="false" outlineLevel="0" max="1025" min="11" style="0" width="8.54"/>
  </cols>
  <sheetData>
    <row r="1" customFormat="false" ht="32.25" hidden="false" customHeight="true" outlineLevel="0" collapsed="false">
      <c r="A1" s="1" t="s">
        <v>0</v>
      </c>
      <c r="B1" s="1"/>
      <c r="C1" s="1"/>
      <c r="D1" s="1"/>
      <c r="E1" s="1"/>
      <c r="F1" s="1"/>
      <c r="G1" s="1"/>
      <c r="H1" s="1"/>
      <c r="I1" s="1"/>
      <c r="J1" s="1"/>
    </row>
    <row r="2" customFormat="false" ht="15" hidden="false" customHeight="true" outlineLevel="0" collapsed="false">
      <c r="A2" s="2" t="s">
        <v>1</v>
      </c>
      <c r="B2" s="2"/>
      <c r="C2" s="2"/>
      <c r="D2" s="2"/>
      <c r="E2" s="2"/>
      <c r="F2" s="2"/>
      <c r="G2" s="2"/>
      <c r="H2" s="2"/>
      <c r="I2" s="2"/>
      <c r="J2" s="2"/>
    </row>
    <row r="3" customFormat="false" ht="15" hidden="false" customHeight="false" outlineLevel="0" collapsed="false">
      <c r="A3" s="3"/>
      <c r="B3" s="3"/>
      <c r="C3" s="3"/>
      <c r="D3" s="4" t="s">
        <v>2</v>
      </c>
      <c r="E3" s="3"/>
      <c r="F3" s="3"/>
      <c r="G3" s="3"/>
      <c r="H3" s="3"/>
      <c r="I3" s="3"/>
      <c r="J3" s="3"/>
    </row>
    <row r="4" customFormat="false" ht="84" hidden="false" customHeight="false" outlineLevel="0" collapsed="false">
      <c r="A4" s="5"/>
      <c r="B4" s="5"/>
      <c r="C4" s="5"/>
      <c r="D4" s="6" t="s">
        <v>3</v>
      </c>
      <c r="E4" s="6"/>
      <c r="F4" s="6"/>
      <c r="G4" s="6"/>
      <c r="H4" s="6"/>
      <c r="I4" s="6"/>
      <c r="J4" s="6"/>
    </row>
    <row r="5" customFormat="false" ht="15" hidden="false" customHeight="false" outlineLevel="0" collapsed="false">
      <c r="A5" s="7"/>
      <c r="B5" s="7"/>
      <c r="C5" s="7"/>
      <c r="D5" s="8" t="s">
        <v>4</v>
      </c>
      <c r="E5" s="7"/>
      <c r="F5" s="7"/>
      <c r="G5" s="9"/>
      <c r="H5" s="7"/>
      <c r="I5" s="7"/>
      <c r="J5" s="9"/>
    </row>
    <row r="6" customFormat="false" ht="60" hidden="false" customHeight="false" outlineLevel="0" collapsed="false">
      <c r="A6" s="10"/>
      <c r="B6" s="7" t="s">
        <v>5</v>
      </c>
      <c r="C6" s="7" t="n">
        <v>1</v>
      </c>
      <c r="D6" s="11" t="s">
        <v>6</v>
      </c>
      <c r="E6" s="12" t="n">
        <v>1</v>
      </c>
      <c r="F6" s="7" t="s">
        <v>7</v>
      </c>
      <c r="G6" s="12" t="n">
        <v>2972</v>
      </c>
      <c r="H6" s="7" t="n">
        <v>1</v>
      </c>
      <c r="I6" s="10" t="s">
        <v>7</v>
      </c>
      <c r="J6" s="12" t="n">
        <f aca="false">E6*G6</f>
        <v>2972</v>
      </c>
    </row>
    <row r="7" customFormat="false" ht="60" hidden="false" customHeight="false" outlineLevel="0" collapsed="false">
      <c r="A7" s="10"/>
      <c r="B7" s="7" t="s">
        <v>8</v>
      </c>
      <c r="C7" s="7" t="n">
        <v>2</v>
      </c>
      <c r="D7" s="11" t="s">
        <v>9</v>
      </c>
      <c r="E7" s="12" t="n">
        <v>1</v>
      </c>
      <c r="F7" s="7" t="s">
        <v>7</v>
      </c>
      <c r="G7" s="12" t="n">
        <v>8750</v>
      </c>
      <c r="H7" s="7" t="n">
        <v>1</v>
      </c>
      <c r="I7" s="10" t="s">
        <v>7</v>
      </c>
      <c r="J7" s="12" t="n">
        <f aca="false">E7*G7</f>
        <v>8750</v>
      </c>
    </row>
    <row r="8" customFormat="false" ht="36" hidden="false" customHeight="false" outlineLevel="0" collapsed="false">
      <c r="A8" s="10"/>
      <c r="B8" s="7" t="s">
        <v>10</v>
      </c>
      <c r="C8" s="7" t="n">
        <v>3</v>
      </c>
      <c r="D8" s="11" t="s">
        <v>11</v>
      </c>
      <c r="E8" s="12" t="n">
        <v>12</v>
      </c>
      <c r="F8" s="7" t="s">
        <v>12</v>
      </c>
      <c r="G8" s="12" t="n">
        <v>184</v>
      </c>
      <c r="H8" s="7" t="n">
        <v>1</v>
      </c>
      <c r="I8" s="10" t="s">
        <v>7</v>
      </c>
      <c r="J8" s="12" t="n">
        <f aca="false">E8*G8</f>
        <v>2208</v>
      </c>
    </row>
    <row r="9" customFormat="false" ht="15" hidden="false" customHeight="false" outlineLevel="0" collapsed="false">
      <c r="A9" s="10"/>
      <c r="B9" s="7"/>
      <c r="C9" s="7"/>
      <c r="D9" s="8" t="s">
        <v>13</v>
      </c>
      <c r="E9" s="7"/>
      <c r="F9" s="7"/>
      <c r="G9" s="7"/>
      <c r="H9" s="7"/>
      <c r="I9" s="7"/>
      <c r="J9" s="9" t="n">
        <f aca="false">SUM(J6:J8)</f>
        <v>13930</v>
      </c>
    </row>
    <row r="10" customFormat="false" ht="15" hidden="false" customHeight="false" outlineLevel="0" collapsed="false">
      <c r="A10" s="10"/>
      <c r="B10" s="7"/>
      <c r="C10" s="7"/>
      <c r="D10" s="8" t="s">
        <v>14</v>
      </c>
      <c r="E10" s="7"/>
      <c r="F10" s="7"/>
      <c r="G10" s="7" t="n">
        <v>150</v>
      </c>
      <c r="H10" s="7"/>
      <c r="I10" s="7"/>
      <c r="J10" s="7"/>
    </row>
    <row r="11" customFormat="false" ht="15" hidden="false" customHeight="false" outlineLevel="0" collapsed="false">
      <c r="A11" s="7"/>
      <c r="B11" s="7" t="n">
        <v>1</v>
      </c>
      <c r="C11" s="7"/>
      <c r="D11" s="8" t="s">
        <v>15</v>
      </c>
      <c r="E11" s="7"/>
      <c r="F11" s="7"/>
      <c r="G11" s="9"/>
      <c r="H11" s="7"/>
      <c r="I11" s="7"/>
      <c r="J11" s="9" t="n">
        <f aca="false">ROUND(J9/G10,2)</f>
        <v>92.87</v>
      </c>
    </row>
    <row r="12" customFormat="false" ht="24" hidden="false" customHeight="false" outlineLevel="0" collapsed="false">
      <c r="A12" s="7"/>
      <c r="B12" s="7" t="n">
        <v>3</v>
      </c>
      <c r="C12" s="7"/>
      <c r="D12" s="8" t="s">
        <v>16</v>
      </c>
      <c r="E12" s="7" t="n">
        <v>15</v>
      </c>
      <c r="F12" s="7" t="s">
        <v>17</v>
      </c>
      <c r="G12" s="9"/>
      <c r="H12" s="7"/>
      <c r="I12" s="7"/>
      <c r="J12" s="9" t="n">
        <f aca="false">J9*12%/E12</f>
        <v>111.44</v>
      </c>
    </row>
    <row r="13" customFormat="false" ht="15" hidden="false" customHeight="false" outlineLevel="0" collapsed="false">
      <c r="A13" s="7"/>
      <c r="B13" s="7" t="n">
        <v>4</v>
      </c>
      <c r="C13" s="7"/>
      <c r="D13" s="8" t="s">
        <v>18</v>
      </c>
      <c r="E13" s="7"/>
      <c r="F13" s="7"/>
      <c r="G13" s="9"/>
      <c r="H13" s="7"/>
      <c r="I13" s="7"/>
      <c r="J13" s="9" t="n">
        <f aca="false">ROUND(J12/12,2)</f>
        <v>9.29</v>
      </c>
    </row>
    <row r="14" customFormat="false" ht="15" hidden="false" customHeight="false" outlineLevel="0" collapsed="false">
      <c r="A14" s="7"/>
      <c r="B14" s="7" t="n">
        <v>5</v>
      </c>
      <c r="C14" s="7"/>
      <c r="D14" s="8" t="s">
        <v>19</v>
      </c>
      <c r="E14" s="7"/>
      <c r="F14" s="7"/>
      <c r="G14" s="9"/>
      <c r="H14" s="7"/>
      <c r="I14" s="7"/>
      <c r="J14" s="9" t="n">
        <f aca="false">J13*2</f>
        <v>18.58</v>
      </c>
    </row>
    <row r="15" customFormat="false" ht="15" hidden="false" customHeight="false" outlineLevel="0" collapsed="false">
      <c r="A15" s="7"/>
      <c r="B15" s="7" t="n">
        <v>6</v>
      </c>
      <c r="C15" s="7"/>
      <c r="D15" s="8" t="s">
        <v>20</v>
      </c>
      <c r="E15" s="7"/>
      <c r="F15" s="7"/>
      <c r="G15" s="9"/>
      <c r="H15" s="7"/>
      <c r="I15" s="7"/>
      <c r="J15" s="9"/>
    </row>
    <row r="16" customFormat="false" ht="15" hidden="false" customHeight="false" outlineLevel="0" collapsed="false">
      <c r="A16" s="7"/>
      <c r="B16" s="7" t="s">
        <v>21</v>
      </c>
      <c r="C16" s="7"/>
      <c r="D16" s="8" t="s">
        <v>22</v>
      </c>
      <c r="E16" s="7" t="n">
        <v>1</v>
      </c>
      <c r="F16" s="7" t="s">
        <v>12</v>
      </c>
      <c r="G16" s="9" t="n">
        <v>775</v>
      </c>
      <c r="H16" s="7" t="n">
        <v>1</v>
      </c>
      <c r="I16" s="7" t="s">
        <v>12</v>
      </c>
      <c r="J16" s="9" t="n">
        <f aca="false">G16*E16</f>
        <v>775</v>
      </c>
    </row>
    <row r="17" customFormat="false" ht="15" hidden="false" customHeight="false" outlineLevel="0" collapsed="false">
      <c r="A17" s="7"/>
      <c r="B17" s="7" t="s">
        <v>23</v>
      </c>
      <c r="C17" s="7"/>
      <c r="D17" s="8" t="s">
        <v>24</v>
      </c>
      <c r="E17" s="7" t="n">
        <v>1</v>
      </c>
      <c r="F17" s="7" t="s">
        <v>12</v>
      </c>
      <c r="G17" s="9" t="n">
        <v>650</v>
      </c>
      <c r="H17" s="7" t="n">
        <v>1</v>
      </c>
      <c r="I17" s="7" t="s">
        <v>12</v>
      </c>
      <c r="J17" s="9" t="n">
        <f aca="false">G17*E17</f>
        <v>650</v>
      </c>
    </row>
    <row r="18" customFormat="false" ht="15" hidden="false" customHeight="false" outlineLevel="0" collapsed="false">
      <c r="A18" s="7"/>
      <c r="B18" s="7"/>
      <c r="C18" s="7"/>
      <c r="D18" s="8" t="s">
        <v>25</v>
      </c>
      <c r="E18" s="7"/>
      <c r="F18" s="7"/>
      <c r="G18" s="9"/>
      <c r="H18" s="7"/>
      <c r="I18" s="7"/>
      <c r="J18" s="9" t="n">
        <f aca="false">SUM(J11:J17)</f>
        <v>1657.18</v>
      </c>
    </row>
    <row r="19" customFormat="false" ht="15" hidden="false" customHeight="true" outlineLevel="0" collapsed="false">
      <c r="A19" s="7"/>
      <c r="B19" s="7"/>
      <c r="C19" s="7" t="s">
        <v>17</v>
      </c>
      <c r="D19" s="8" t="s">
        <v>26</v>
      </c>
      <c r="E19" s="7"/>
      <c r="F19" s="7"/>
      <c r="G19" s="13" t="n">
        <f aca="false">J9*0.8</f>
        <v>11144</v>
      </c>
      <c r="H19" s="14" t="s">
        <v>27</v>
      </c>
      <c r="I19" s="14"/>
      <c r="J19" s="9"/>
    </row>
    <row r="20" customFormat="false" ht="24" hidden="false" customHeight="true" outlineLevel="0" collapsed="false">
      <c r="A20" s="7"/>
      <c r="B20" s="7"/>
      <c r="C20" s="7" t="n">
        <v>1</v>
      </c>
      <c r="D20" s="8" t="s">
        <v>28</v>
      </c>
      <c r="E20" s="7" t="s">
        <v>29</v>
      </c>
      <c r="F20" s="7"/>
      <c r="G20" s="7" t="n">
        <v>1</v>
      </c>
      <c r="H20" s="9" t="n">
        <f aca="false">J18*G20</f>
        <v>1657.18</v>
      </c>
      <c r="I20" s="9"/>
      <c r="J20" s="9" t="n">
        <f aca="false">ROUND(H20,0)</f>
        <v>1657</v>
      </c>
    </row>
    <row r="21" customFormat="false" ht="21.65" hidden="false" customHeight="false" outlineLevel="0" collapsed="false">
      <c r="A21" s="7"/>
      <c r="B21" s="7"/>
      <c r="C21" s="7" t="n">
        <v>2</v>
      </c>
      <c r="D21" s="8" t="s">
        <v>30</v>
      </c>
      <c r="E21" s="7"/>
      <c r="F21" s="7"/>
      <c r="G21" s="7" t="n">
        <v>1.5</v>
      </c>
      <c r="H21" s="9" t="n">
        <f aca="false">J18*G21</f>
        <v>2485.77</v>
      </c>
      <c r="I21" s="9"/>
      <c r="J21" s="9" t="n">
        <f aca="false">ROUND(H21,0)</f>
        <v>2486</v>
      </c>
    </row>
    <row r="22" customFormat="false" ht="21.65" hidden="false" customHeight="false" outlineLevel="0" collapsed="false">
      <c r="A22" s="7"/>
      <c r="B22" s="7"/>
      <c r="C22" s="7" t="n">
        <v>3</v>
      </c>
      <c r="D22" s="8" t="s">
        <v>31</v>
      </c>
      <c r="E22" s="7"/>
      <c r="F22" s="7"/>
      <c r="G22" s="7" t="n">
        <v>2</v>
      </c>
      <c r="H22" s="9" t="n">
        <f aca="false">J18*G22</f>
        <v>3314.36</v>
      </c>
      <c r="I22" s="9"/>
      <c r="J22" s="9" t="n">
        <f aca="false">ROUND(H22,0)</f>
        <v>3314</v>
      </c>
    </row>
    <row r="23" customFormat="false" ht="21.65" hidden="false" customHeight="false" outlineLevel="0" collapsed="false">
      <c r="A23" s="7"/>
      <c r="B23" s="7"/>
      <c r="C23" s="7" t="n">
        <v>4</v>
      </c>
      <c r="D23" s="8" t="s">
        <v>32</v>
      </c>
      <c r="E23" s="7"/>
      <c r="F23" s="7"/>
      <c r="G23" s="7" t="n">
        <v>2.25</v>
      </c>
      <c r="H23" s="9" t="n">
        <f aca="false">J18*G23</f>
        <v>3728.655</v>
      </c>
      <c r="I23" s="9"/>
      <c r="J23" s="9" t="n">
        <f aca="false">ROUND(H23,0)</f>
        <v>3729</v>
      </c>
    </row>
    <row r="24" customFormat="false" ht="21.65" hidden="false" customHeight="false" outlineLevel="0" collapsed="false">
      <c r="A24" s="7"/>
      <c r="B24" s="7"/>
      <c r="C24" s="7" t="n">
        <v>5</v>
      </c>
      <c r="D24" s="8" t="s">
        <v>33</v>
      </c>
      <c r="E24" s="7"/>
      <c r="F24" s="7"/>
      <c r="G24" s="7" t="n">
        <v>2.5</v>
      </c>
      <c r="H24" s="9" t="n">
        <f aca="false">J18*G24</f>
        <v>4142.95</v>
      </c>
      <c r="I24" s="9"/>
      <c r="J24" s="9" t="n">
        <f aca="false">ROUND(H24,0)</f>
        <v>4143</v>
      </c>
    </row>
    <row r="25" customFormat="false" ht="21.65" hidden="false" customHeight="false" outlineLevel="0" collapsed="false">
      <c r="A25" s="7"/>
      <c r="B25" s="7"/>
      <c r="C25" s="7" t="n">
        <v>6</v>
      </c>
      <c r="D25" s="8" t="s">
        <v>34</v>
      </c>
      <c r="E25" s="7"/>
      <c r="F25" s="7"/>
      <c r="G25" s="7" t="n">
        <v>2.75</v>
      </c>
      <c r="H25" s="9" t="n">
        <f aca="false">J18*G25</f>
        <v>4557.245</v>
      </c>
      <c r="I25" s="9"/>
      <c r="J25" s="9" t="n">
        <f aca="false">ROUND(H25,0)</f>
        <v>4557</v>
      </c>
    </row>
    <row r="26" customFormat="false" ht="21.65" hidden="false" customHeight="false" outlineLevel="0" collapsed="false">
      <c r="A26" s="7"/>
      <c r="B26" s="7"/>
      <c r="C26" s="7" t="n">
        <v>7</v>
      </c>
      <c r="D26" s="8" t="s">
        <v>35</v>
      </c>
      <c r="E26" s="7"/>
      <c r="F26" s="7"/>
      <c r="G26" s="7" t="n">
        <v>3</v>
      </c>
      <c r="H26" s="9" t="n">
        <f aca="false">J18*G26</f>
        <v>4971.54</v>
      </c>
      <c r="I26" s="9"/>
      <c r="J26" s="9" t="n">
        <f aca="false">ROUND(H26,0)</f>
        <v>4972</v>
      </c>
    </row>
    <row r="27" customFormat="false" ht="21.65" hidden="false" customHeight="false" outlineLevel="0" collapsed="false">
      <c r="A27" s="7"/>
      <c r="B27" s="7"/>
      <c r="C27" s="7" t="n">
        <v>8</v>
      </c>
      <c r="D27" s="8" t="s">
        <v>36</v>
      </c>
      <c r="E27" s="7"/>
      <c r="F27" s="7"/>
      <c r="G27" s="7" t="n">
        <v>3.25</v>
      </c>
      <c r="H27" s="9" t="n">
        <f aca="false">J18*G27</f>
        <v>5385.835</v>
      </c>
      <c r="I27" s="9"/>
      <c r="J27" s="9" t="n">
        <f aca="false">ROUND(H27,0)</f>
        <v>5386</v>
      </c>
    </row>
    <row r="28" customFormat="false" ht="21.65" hidden="false" customHeight="false" outlineLevel="0" collapsed="false">
      <c r="A28" s="7"/>
      <c r="B28" s="7"/>
      <c r="C28" s="7" t="n">
        <v>9</v>
      </c>
      <c r="D28" s="8" t="s">
        <v>36</v>
      </c>
      <c r="E28" s="7"/>
      <c r="F28" s="7"/>
      <c r="G28" s="7" t="n">
        <v>3.5</v>
      </c>
      <c r="H28" s="9" t="n">
        <f aca="false">J18*G28</f>
        <v>5800.13</v>
      </c>
      <c r="I28" s="9"/>
      <c r="J28" s="9" t="n">
        <f aca="false">ROUND(H28,0)</f>
        <v>5800</v>
      </c>
    </row>
    <row r="29" customFormat="false" ht="21.65" hidden="false" customHeight="false" outlineLevel="0" collapsed="false">
      <c r="A29" s="7"/>
      <c r="B29" s="7"/>
      <c r="C29" s="7" t="n">
        <v>10</v>
      </c>
      <c r="D29" s="8" t="s">
        <v>37</v>
      </c>
      <c r="E29" s="7"/>
      <c r="F29" s="7"/>
      <c r="G29" s="7" t="n">
        <v>3.75</v>
      </c>
      <c r="H29" s="9" t="n">
        <f aca="false">J18*G29</f>
        <v>6214.425</v>
      </c>
      <c r="I29" s="9"/>
      <c r="J29" s="9" t="n">
        <f aca="false">ROUND(H29,0)</f>
        <v>6214</v>
      </c>
    </row>
    <row r="30" customFormat="false" ht="21.65" hidden="false" customHeight="false" outlineLevel="0" collapsed="false">
      <c r="A30" s="7"/>
      <c r="B30" s="7"/>
      <c r="C30" s="7" t="n">
        <v>11</v>
      </c>
      <c r="D30" s="8" t="s">
        <v>38</v>
      </c>
      <c r="E30" s="7"/>
      <c r="F30" s="7"/>
      <c r="G30" s="7" t="n">
        <v>4</v>
      </c>
      <c r="H30" s="9" t="n">
        <f aca="false">J18*G30</f>
        <v>6628.72</v>
      </c>
      <c r="I30" s="9"/>
      <c r="J30" s="9" t="n">
        <f aca="false">ROUND(H30,0)</f>
        <v>6629</v>
      </c>
    </row>
    <row r="31" customFormat="false" ht="21.65" hidden="false" customHeight="false" outlineLevel="0" collapsed="false">
      <c r="A31" s="7"/>
      <c r="B31" s="7"/>
      <c r="C31" s="7" t="n">
        <v>12</v>
      </c>
      <c r="D31" s="8" t="s">
        <v>39</v>
      </c>
      <c r="E31" s="7"/>
      <c r="F31" s="7"/>
      <c r="G31" s="7" t="n">
        <v>4.25</v>
      </c>
      <c r="H31" s="9" t="n">
        <f aca="false">J18*G31</f>
        <v>7043.015</v>
      </c>
      <c r="I31" s="9"/>
      <c r="J31" s="9" t="n">
        <f aca="false">ROUND(H31,0)</f>
        <v>7043</v>
      </c>
    </row>
    <row r="32" customFormat="false" ht="21.65" hidden="false" customHeight="false" outlineLevel="0" collapsed="false">
      <c r="A32" s="7"/>
      <c r="B32" s="7"/>
      <c r="C32" s="7" t="n">
        <v>13</v>
      </c>
      <c r="D32" s="8" t="s">
        <v>40</v>
      </c>
      <c r="E32" s="7"/>
      <c r="F32" s="7"/>
      <c r="G32" s="7" t="n">
        <v>4.5</v>
      </c>
      <c r="H32" s="9" t="n">
        <f aca="false">J18*G32</f>
        <v>7457.31</v>
      </c>
      <c r="I32" s="9"/>
      <c r="J32" s="9" t="n">
        <f aca="false">ROUND(H32,0)</f>
        <v>7457</v>
      </c>
    </row>
    <row r="33" customFormat="false" ht="15" hidden="false" customHeight="true" outlineLevel="0" collapsed="false">
      <c r="A33" s="15" t="s">
        <v>41</v>
      </c>
      <c r="B33" s="15"/>
      <c r="C33" s="15"/>
      <c r="D33" s="15"/>
      <c r="E33" s="15"/>
      <c r="F33" s="15"/>
      <c r="G33" s="15"/>
      <c r="H33" s="15"/>
      <c r="I33" s="15"/>
      <c r="J33" s="15"/>
    </row>
    <row r="34" customFormat="false" ht="15" hidden="false" customHeight="false" outlineLevel="0" collapsed="false">
      <c r="B34" s="16"/>
      <c r="C34" s="16"/>
      <c r="D34" s="4" t="s">
        <v>2</v>
      </c>
      <c r="E34" s="16"/>
      <c r="F34" s="16"/>
      <c r="G34" s="16"/>
      <c r="H34" s="16"/>
      <c r="I34" s="16"/>
      <c r="J34" s="16"/>
    </row>
    <row r="35" customFormat="false" ht="108" hidden="false" customHeight="false" outlineLevel="0" collapsed="false">
      <c r="A35" s="5"/>
      <c r="B35" s="5" t="s">
        <v>42</v>
      </c>
      <c r="C35" s="5"/>
      <c r="D35" s="6" t="s">
        <v>43</v>
      </c>
      <c r="E35" s="6"/>
      <c r="F35" s="6"/>
      <c r="G35" s="6"/>
      <c r="H35" s="6"/>
      <c r="I35" s="6"/>
      <c r="J35" s="6"/>
    </row>
    <row r="36" customFormat="false" ht="15" hidden="false" customHeight="false" outlineLevel="0" collapsed="false">
      <c r="A36" s="7"/>
      <c r="B36" s="7"/>
      <c r="C36" s="7"/>
      <c r="D36" s="8" t="s">
        <v>4</v>
      </c>
      <c r="E36" s="7"/>
      <c r="F36" s="7"/>
      <c r="G36" s="9"/>
      <c r="H36" s="7"/>
      <c r="I36" s="7"/>
      <c r="J36" s="9"/>
    </row>
    <row r="37" customFormat="false" ht="48" hidden="false" customHeight="false" outlineLevel="0" collapsed="false">
      <c r="A37" s="7"/>
      <c r="B37" s="7" t="s">
        <v>44</v>
      </c>
      <c r="C37" s="7" t="n">
        <v>1</v>
      </c>
      <c r="D37" s="17" t="s">
        <v>45</v>
      </c>
      <c r="E37" s="7" t="n">
        <v>1</v>
      </c>
      <c r="F37" s="7" t="s">
        <v>12</v>
      </c>
      <c r="G37" s="9" t="n">
        <v>14600</v>
      </c>
      <c r="H37" s="7" t="n">
        <v>1</v>
      </c>
      <c r="I37" s="7" t="s">
        <v>12</v>
      </c>
      <c r="J37" s="9" t="n">
        <f aca="false">E37*G37</f>
        <v>14600</v>
      </c>
    </row>
    <row r="38" customFormat="false" ht="15" hidden="false" customHeight="false" outlineLevel="0" collapsed="false">
      <c r="A38" s="7"/>
      <c r="B38" s="7"/>
      <c r="C38" s="7"/>
      <c r="D38" s="8" t="s">
        <v>4</v>
      </c>
      <c r="E38" s="7"/>
      <c r="F38" s="7"/>
      <c r="G38" s="9"/>
      <c r="H38" s="7"/>
      <c r="I38" s="7"/>
      <c r="J38" s="9" t="n">
        <f aca="false">SUM(J37:J37)</f>
        <v>14600</v>
      </c>
    </row>
    <row r="39" customFormat="false" ht="15" hidden="false" customHeight="false" outlineLevel="0" collapsed="false">
      <c r="A39" s="7"/>
      <c r="B39" s="7"/>
      <c r="C39" s="7"/>
      <c r="D39" s="8" t="s">
        <v>46</v>
      </c>
      <c r="E39" s="7"/>
      <c r="F39" s="7"/>
      <c r="G39" s="9"/>
      <c r="H39" s="7"/>
      <c r="I39" s="7"/>
      <c r="J39" s="9"/>
    </row>
    <row r="40" customFormat="false" ht="15" hidden="false" customHeight="false" outlineLevel="0" collapsed="false">
      <c r="A40" s="7"/>
      <c r="B40" s="7" t="n">
        <v>1</v>
      </c>
      <c r="C40" s="7"/>
      <c r="D40" s="8" t="s">
        <v>15</v>
      </c>
      <c r="E40" s="7"/>
      <c r="F40" s="7"/>
      <c r="G40" s="9"/>
      <c r="H40" s="7"/>
      <c r="I40" s="7"/>
      <c r="J40" s="9" t="n">
        <f aca="false">ROUND(J38/150,2)</f>
        <v>97.33</v>
      </c>
    </row>
    <row r="41" customFormat="false" ht="15" hidden="false" customHeight="false" outlineLevel="0" collapsed="false">
      <c r="A41" s="7"/>
      <c r="B41" s="7" t="n">
        <v>2</v>
      </c>
      <c r="C41" s="7"/>
      <c r="D41" s="8" t="s">
        <v>47</v>
      </c>
      <c r="E41" s="7"/>
      <c r="F41" s="7"/>
      <c r="G41" s="9"/>
      <c r="H41" s="7"/>
      <c r="I41" s="7"/>
      <c r="J41" s="9" t="n">
        <f aca="false">J40/2</f>
        <v>48.665</v>
      </c>
    </row>
    <row r="42" customFormat="false" ht="15" hidden="false" customHeight="false" outlineLevel="0" collapsed="false">
      <c r="A42" s="7"/>
      <c r="B42" s="7" t="n">
        <v>3</v>
      </c>
      <c r="C42" s="7"/>
      <c r="D42" s="8" t="s">
        <v>16</v>
      </c>
      <c r="E42" s="7"/>
      <c r="F42" s="7"/>
      <c r="G42" s="9"/>
      <c r="H42" s="7"/>
      <c r="I42" s="7"/>
      <c r="J42" s="9" t="n">
        <f aca="false">J38*12/(100*15)</f>
        <v>116.8</v>
      </c>
    </row>
    <row r="43" customFormat="false" ht="15" hidden="false" customHeight="false" outlineLevel="0" collapsed="false">
      <c r="A43" s="7"/>
      <c r="B43" s="7" t="n">
        <v>4</v>
      </c>
      <c r="C43" s="7"/>
      <c r="D43" s="8" t="s">
        <v>18</v>
      </c>
      <c r="E43" s="7"/>
      <c r="F43" s="7"/>
      <c r="G43" s="9"/>
      <c r="H43" s="7"/>
      <c r="I43" s="7"/>
      <c r="J43" s="9" t="n">
        <f aca="false">ROUND(J42/12,2)</f>
        <v>9.73</v>
      </c>
    </row>
    <row r="44" customFormat="false" ht="15" hidden="false" customHeight="false" outlineLevel="0" collapsed="false">
      <c r="A44" s="7"/>
      <c r="B44" s="7" t="n">
        <v>5</v>
      </c>
      <c r="C44" s="7"/>
      <c r="D44" s="8" t="s">
        <v>19</v>
      </c>
      <c r="E44" s="7"/>
      <c r="F44" s="7"/>
      <c r="G44" s="9"/>
      <c r="H44" s="7"/>
      <c r="I44" s="7"/>
      <c r="J44" s="9" t="n">
        <f aca="false">J43*2</f>
        <v>19.46</v>
      </c>
    </row>
    <row r="45" customFormat="false" ht="15" hidden="false" customHeight="false" outlineLevel="0" collapsed="false">
      <c r="A45" s="7"/>
      <c r="B45" s="7" t="n">
        <v>6</v>
      </c>
      <c r="C45" s="7"/>
      <c r="D45" s="8" t="s">
        <v>20</v>
      </c>
      <c r="E45" s="7"/>
      <c r="F45" s="7"/>
      <c r="G45" s="9"/>
      <c r="H45" s="7"/>
      <c r="I45" s="7"/>
      <c r="J45" s="9"/>
    </row>
    <row r="46" customFormat="false" ht="15" hidden="false" customHeight="false" outlineLevel="0" collapsed="false">
      <c r="A46" s="7"/>
      <c r="B46" s="7" t="s">
        <v>21</v>
      </c>
      <c r="C46" s="7"/>
      <c r="D46" s="8" t="s">
        <v>22</v>
      </c>
      <c r="E46" s="7" t="n">
        <v>0.125</v>
      </c>
      <c r="F46" s="7" t="s">
        <v>12</v>
      </c>
      <c r="G46" s="9" t="n">
        <v>775</v>
      </c>
      <c r="H46" s="7" t="n">
        <v>1</v>
      </c>
      <c r="I46" s="7" t="s">
        <v>12</v>
      </c>
      <c r="J46" s="9" t="n">
        <f aca="false">G46*E46</f>
        <v>96.875</v>
      </c>
    </row>
    <row r="47" customFormat="false" ht="15" hidden="false" customHeight="false" outlineLevel="0" collapsed="false">
      <c r="A47" s="7"/>
      <c r="B47" s="7" t="s">
        <v>23</v>
      </c>
      <c r="C47" s="7"/>
      <c r="D47" s="8" t="s">
        <v>24</v>
      </c>
      <c r="E47" s="7" t="n">
        <v>0.125</v>
      </c>
      <c r="F47" s="7" t="s">
        <v>12</v>
      </c>
      <c r="G47" s="9" t="n">
        <v>650</v>
      </c>
      <c r="H47" s="7" t="n">
        <v>1</v>
      </c>
      <c r="I47" s="7" t="s">
        <v>12</v>
      </c>
      <c r="J47" s="9" t="n">
        <f aca="false">G47*E47</f>
        <v>81.25</v>
      </c>
    </row>
    <row r="48" customFormat="false" ht="15" hidden="false" customHeight="false" outlineLevel="0" collapsed="false">
      <c r="A48" s="7"/>
      <c r="B48" s="7"/>
      <c r="C48" s="7"/>
      <c r="D48" s="8" t="s">
        <v>25</v>
      </c>
      <c r="E48" s="7"/>
      <c r="F48" s="7"/>
      <c r="G48" s="9"/>
      <c r="H48" s="7"/>
      <c r="I48" s="7"/>
      <c r="J48" s="18" t="n">
        <f aca="false">SUM(J40:J47)</f>
        <v>470.11</v>
      </c>
    </row>
    <row r="49" customFormat="false" ht="15" hidden="false" customHeight="true" outlineLevel="0" collapsed="false">
      <c r="A49" s="7"/>
      <c r="B49" s="7"/>
      <c r="C49" s="7" t="s">
        <v>17</v>
      </c>
      <c r="D49" s="8" t="s">
        <v>26</v>
      </c>
      <c r="E49" s="7"/>
      <c r="F49" s="7"/>
      <c r="G49" s="13" t="n">
        <f aca="false">J38*0.8</f>
        <v>11680</v>
      </c>
      <c r="H49" s="14" t="s">
        <v>27</v>
      </c>
      <c r="I49" s="14"/>
      <c r="J49" s="9"/>
    </row>
    <row r="50" customFormat="false" ht="24" hidden="false" customHeight="true" outlineLevel="0" collapsed="false">
      <c r="A50" s="7"/>
      <c r="B50" s="7"/>
      <c r="C50" s="7" t="n">
        <v>1</v>
      </c>
      <c r="D50" s="8" t="s">
        <v>48</v>
      </c>
      <c r="E50" s="7" t="s">
        <v>29</v>
      </c>
      <c r="F50" s="7"/>
      <c r="G50" s="7" t="n">
        <v>1</v>
      </c>
      <c r="H50" s="9" t="n">
        <f aca="false">J48</f>
        <v>470.11</v>
      </c>
      <c r="I50" s="9"/>
      <c r="J50" s="9" t="n">
        <f aca="false">ROUND(H50,0)</f>
        <v>470</v>
      </c>
    </row>
    <row r="51" customFormat="false" ht="21.6" hidden="false" customHeight="false" outlineLevel="0" collapsed="false">
      <c r="A51" s="7"/>
      <c r="B51" s="7"/>
      <c r="C51" s="7" t="n">
        <v>2</v>
      </c>
      <c r="D51" s="8" t="s">
        <v>30</v>
      </c>
      <c r="E51" s="7"/>
      <c r="F51" s="7"/>
      <c r="G51" s="7" t="n">
        <v>1.5</v>
      </c>
      <c r="H51" s="9" t="n">
        <f aca="false">G51*J48</f>
        <v>705.165</v>
      </c>
      <c r="I51" s="9"/>
      <c r="J51" s="9" t="n">
        <f aca="false">ROUND(H51,0)</f>
        <v>705</v>
      </c>
    </row>
    <row r="52" customFormat="false" ht="21.6" hidden="false" customHeight="false" outlineLevel="0" collapsed="false">
      <c r="A52" s="7"/>
      <c r="B52" s="7"/>
      <c r="C52" s="7" t="n">
        <v>3</v>
      </c>
      <c r="D52" s="8" t="s">
        <v>31</v>
      </c>
      <c r="E52" s="7"/>
      <c r="F52" s="7"/>
      <c r="G52" s="7" t="n">
        <v>2</v>
      </c>
      <c r="H52" s="9" t="n">
        <f aca="false">G52*J48</f>
        <v>940.22</v>
      </c>
      <c r="I52" s="9"/>
      <c r="J52" s="9" t="n">
        <f aca="false">ROUND(H52,0)</f>
        <v>940</v>
      </c>
    </row>
    <row r="53" customFormat="false" ht="21.6" hidden="false" customHeight="false" outlineLevel="0" collapsed="false">
      <c r="A53" s="7"/>
      <c r="B53" s="7"/>
      <c r="C53" s="7" t="n">
        <v>4</v>
      </c>
      <c r="D53" s="8" t="s">
        <v>32</v>
      </c>
      <c r="E53" s="7"/>
      <c r="F53" s="7"/>
      <c r="G53" s="7" t="n">
        <v>2.25</v>
      </c>
      <c r="H53" s="9" t="n">
        <f aca="false">G53*J48</f>
        <v>1057.7475</v>
      </c>
      <c r="I53" s="9"/>
      <c r="J53" s="9" t="n">
        <f aca="false">ROUND(H53,0)</f>
        <v>1058</v>
      </c>
    </row>
    <row r="54" customFormat="false" ht="21.6" hidden="false" customHeight="false" outlineLevel="0" collapsed="false">
      <c r="A54" s="7"/>
      <c r="B54" s="7"/>
      <c r="C54" s="7" t="n">
        <v>5</v>
      </c>
      <c r="D54" s="8" t="s">
        <v>33</v>
      </c>
      <c r="E54" s="7"/>
      <c r="F54" s="7"/>
      <c r="G54" s="7" t="n">
        <v>2.5</v>
      </c>
      <c r="H54" s="9" t="n">
        <f aca="false">G54*J50</f>
        <v>1175</v>
      </c>
      <c r="I54" s="9"/>
      <c r="J54" s="9" t="n">
        <f aca="false">ROUND(H54,0)</f>
        <v>1175</v>
      </c>
    </row>
    <row r="55" customFormat="false" ht="21.6" hidden="false" customHeight="false" outlineLevel="0" collapsed="false">
      <c r="A55" s="7"/>
      <c r="B55" s="7"/>
      <c r="C55" s="7" t="n">
        <v>6</v>
      </c>
      <c r="D55" s="8" t="s">
        <v>49</v>
      </c>
      <c r="E55" s="7"/>
      <c r="F55" s="7"/>
      <c r="G55" s="7" t="n">
        <v>2.75</v>
      </c>
      <c r="H55" s="9" t="n">
        <f aca="false">G55*J48</f>
        <v>1292.8025</v>
      </c>
      <c r="I55" s="9"/>
      <c r="J55" s="9" t="n">
        <f aca="false">ROUND(H55,0)</f>
        <v>1293</v>
      </c>
    </row>
    <row r="56" customFormat="false" ht="21.6" hidden="false" customHeight="false" outlineLevel="0" collapsed="false">
      <c r="A56" s="7"/>
      <c r="B56" s="7"/>
      <c r="C56" s="7" t="n">
        <v>7</v>
      </c>
      <c r="D56" s="8" t="s">
        <v>50</v>
      </c>
      <c r="E56" s="7"/>
      <c r="F56" s="7"/>
      <c r="G56" s="7" t="n">
        <v>3</v>
      </c>
      <c r="H56" s="9" t="n">
        <f aca="false">G56*J48</f>
        <v>1410.33</v>
      </c>
      <c r="I56" s="9"/>
      <c r="J56" s="9" t="n">
        <f aca="false">ROUND(H56,0)</f>
        <v>1410</v>
      </c>
    </row>
    <row r="57" customFormat="false" ht="21.6" hidden="false" customHeight="false" outlineLevel="0" collapsed="false">
      <c r="A57" s="7"/>
      <c r="B57" s="7"/>
      <c r="C57" s="7" t="n">
        <v>8</v>
      </c>
      <c r="D57" s="8" t="s">
        <v>51</v>
      </c>
      <c r="E57" s="7"/>
      <c r="F57" s="7"/>
      <c r="G57" s="7" t="n">
        <v>3.25</v>
      </c>
      <c r="H57" s="9" t="n">
        <f aca="false">G57*J51</f>
        <v>2291.25</v>
      </c>
      <c r="I57" s="9"/>
      <c r="J57" s="9" t="n">
        <f aca="false">ROUND(H57,0)</f>
        <v>2291</v>
      </c>
    </row>
    <row r="58" customFormat="false" ht="21.6" hidden="false" customHeight="false" outlineLevel="0" collapsed="false">
      <c r="A58" s="7"/>
      <c r="B58" s="7"/>
      <c r="C58" s="7" t="n">
        <v>9</v>
      </c>
      <c r="D58" s="8" t="s">
        <v>52</v>
      </c>
      <c r="E58" s="7"/>
      <c r="F58" s="7"/>
      <c r="G58" s="7" t="n">
        <v>3.5</v>
      </c>
      <c r="H58" s="9" t="n">
        <f aca="false">G58*J48</f>
        <v>1645.385</v>
      </c>
      <c r="I58" s="9"/>
      <c r="J58" s="9" t="n">
        <f aca="false">ROUND(H58,0)</f>
        <v>1645</v>
      </c>
    </row>
    <row r="59" customFormat="false" ht="21.6" hidden="false" customHeight="false" outlineLevel="0" collapsed="false">
      <c r="A59" s="7"/>
      <c r="B59" s="7"/>
      <c r="C59" s="7" t="n">
        <v>10</v>
      </c>
      <c r="D59" s="19" t="s">
        <v>53</v>
      </c>
      <c r="E59" s="7"/>
      <c r="F59" s="7"/>
      <c r="G59" s="7" t="n">
        <v>3.75</v>
      </c>
      <c r="H59" s="9" t="n">
        <f aca="false">G59*J48</f>
        <v>1762.9125</v>
      </c>
      <c r="I59" s="9"/>
      <c r="J59" s="9" t="n">
        <f aca="false">ROUND(H59,0)</f>
        <v>1763</v>
      </c>
    </row>
    <row r="60" customFormat="false" ht="21.6" hidden="false" customHeight="false" outlineLevel="0" collapsed="false">
      <c r="A60" s="7"/>
      <c r="B60" s="7"/>
      <c r="C60" s="7" t="n">
        <v>11</v>
      </c>
      <c r="D60" s="19" t="s">
        <v>54</v>
      </c>
      <c r="E60" s="7"/>
      <c r="F60" s="7"/>
      <c r="G60" s="7" t="n">
        <v>4</v>
      </c>
      <c r="H60" s="9" t="n">
        <f aca="false">G60*J48</f>
        <v>1880.44</v>
      </c>
      <c r="I60" s="9"/>
      <c r="J60" s="9" t="n">
        <f aca="false">ROUND(H60,0)</f>
        <v>1880</v>
      </c>
    </row>
    <row r="61" customFormat="false" ht="21.6" hidden="false" customHeight="false" outlineLevel="0" collapsed="false">
      <c r="A61" s="7"/>
      <c r="B61" s="7"/>
      <c r="C61" s="7" t="n">
        <v>12</v>
      </c>
      <c r="D61" s="19" t="s">
        <v>55</v>
      </c>
      <c r="E61" s="7"/>
      <c r="F61" s="7"/>
      <c r="G61" s="7" t="n">
        <v>4.25</v>
      </c>
      <c r="H61" s="9" t="n">
        <f aca="false">G61*J48</f>
        <v>1997.9675</v>
      </c>
      <c r="I61" s="9"/>
      <c r="J61" s="9" t="n">
        <f aca="false">ROUND(H61,0)</f>
        <v>1998</v>
      </c>
    </row>
    <row r="62" customFormat="false" ht="21.6" hidden="false" customHeight="false" outlineLevel="0" collapsed="false">
      <c r="A62" s="7"/>
      <c r="B62" s="7"/>
      <c r="C62" s="7" t="n">
        <v>13</v>
      </c>
      <c r="D62" s="19" t="s">
        <v>56</v>
      </c>
      <c r="E62" s="7"/>
      <c r="F62" s="7"/>
      <c r="G62" s="7" t="n">
        <v>4.5</v>
      </c>
      <c r="H62" s="9" t="n">
        <f aca="false">G62*J48</f>
        <v>2115.495</v>
      </c>
      <c r="I62" s="9"/>
      <c r="J62" s="9" t="n">
        <f aca="false">ROUND(H62,0)</f>
        <v>2115</v>
      </c>
    </row>
    <row r="63" customFormat="false" ht="15" hidden="false" customHeight="true" outlineLevel="0" collapsed="false">
      <c r="A63" s="2" t="s">
        <v>57</v>
      </c>
      <c r="B63" s="2"/>
      <c r="C63" s="2"/>
      <c r="D63" s="2"/>
      <c r="E63" s="2"/>
      <c r="F63" s="2"/>
      <c r="G63" s="2"/>
      <c r="H63" s="2"/>
      <c r="I63" s="2"/>
      <c r="J63" s="2"/>
    </row>
    <row r="64" customFormat="false" ht="15" hidden="false" customHeight="false" outlineLevel="0" collapsed="false">
      <c r="B64" s="20"/>
      <c r="C64" s="20"/>
      <c r="D64" s="21" t="s">
        <v>2</v>
      </c>
      <c r="E64" s="20"/>
      <c r="F64" s="20"/>
      <c r="G64" s="20"/>
      <c r="H64" s="20"/>
      <c r="I64" s="20"/>
      <c r="J64" s="20"/>
    </row>
    <row r="65" customFormat="false" ht="96" hidden="false" customHeight="false" outlineLevel="0" collapsed="false">
      <c r="A65" s="7"/>
      <c r="B65" s="7" t="s">
        <v>58</v>
      </c>
      <c r="C65" s="7"/>
      <c r="D65" s="17" t="s">
        <v>59</v>
      </c>
      <c r="E65" s="17"/>
      <c r="F65" s="17"/>
      <c r="G65" s="17"/>
      <c r="H65" s="17"/>
      <c r="I65" s="17"/>
      <c r="J65" s="17"/>
    </row>
    <row r="66" customFormat="false" ht="15" hidden="false" customHeight="false" outlineLevel="0" collapsed="false">
      <c r="A66" s="7"/>
      <c r="B66" s="7"/>
      <c r="C66" s="7"/>
      <c r="D66" s="8" t="s">
        <v>4</v>
      </c>
      <c r="E66" s="7"/>
      <c r="F66" s="7"/>
      <c r="G66" s="9"/>
      <c r="H66" s="7"/>
      <c r="I66" s="7"/>
      <c r="J66" s="9"/>
    </row>
    <row r="67" customFormat="false" ht="24" hidden="false" customHeight="false" outlineLevel="0" collapsed="false">
      <c r="A67" s="7"/>
      <c r="B67" s="7" t="s">
        <v>60</v>
      </c>
      <c r="C67" s="7" t="n">
        <v>1</v>
      </c>
      <c r="D67" s="8" t="s">
        <v>61</v>
      </c>
      <c r="E67" s="7" t="n">
        <v>1000</v>
      </c>
      <c r="F67" s="7" t="s">
        <v>12</v>
      </c>
      <c r="G67" s="22" t="n">
        <v>1735</v>
      </c>
      <c r="H67" s="7" t="n">
        <v>1000</v>
      </c>
      <c r="I67" s="7" t="s">
        <v>12</v>
      </c>
      <c r="J67" s="9" t="n">
        <f aca="false">G67*E67/H67</f>
        <v>1735</v>
      </c>
    </row>
    <row r="68" customFormat="false" ht="15" hidden="false" customHeight="false" outlineLevel="0" collapsed="false">
      <c r="A68" s="7"/>
      <c r="B68" s="7"/>
      <c r="C68" s="7"/>
      <c r="D68" s="8" t="s">
        <v>4</v>
      </c>
      <c r="E68" s="7"/>
      <c r="F68" s="7"/>
      <c r="G68" s="9"/>
      <c r="H68" s="7"/>
      <c r="I68" s="7"/>
      <c r="J68" s="9" t="n">
        <f aca="false">SUM(J67:J67)</f>
        <v>1735</v>
      </c>
    </row>
    <row r="69" customFormat="false" ht="15" hidden="false" customHeight="false" outlineLevel="0" collapsed="false">
      <c r="A69" s="7"/>
      <c r="B69" s="7" t="n">
        <v>1</v>
      </c>
      <c r="C69" s="7"/>
      <c r="D69" s="8" t="s">
        <v>62</v>
      </c>
      <c r="E69" s="7" t="n">
        <v>60</v>
      </c>
      <c r="F69" s="7"/>
      <c r="G69" s="22" t="n">
        <v>60</v>
      </c>
      <c r="H69" s="7"/>
      <c r="I69" s="7"/>
      <c r="J69" s="9"/>
    </row>
    <row r="70" customFormat="false" ht="15" hidden="false" customHeight="false" outlineLevel="0" collapsed="false">
      <c r="A70" s="7"/>
      <c r="B70" s="7" t="n">
        <v>2</v>
      </c>
      <c r="C70" s="7"/>
      <c r="D70" s="8" t="s">
        <v>15</v>
      </c>
      <c r="E70" s="7"/>
      <c r="F70" s="7"/>
      <c r="G70" s="9"/>
      <c r="H70" s="7"/>
      <c r="I70" s="7"/>
      <c r="J70" s="9" t="n">
        <f aca="false">SUM(J68/G69)</f>
        <v>28.9166666666667</v>
      </c>
    </row>
    <row r="71" customFormat="false" ht="15" hidden="false" customHeight="false" outlineLevel="0" collapsed="false">
      <c r="A71" s="7"/>
      <c r="B71" s="7" t="n">
        <v>3</v>
      </c>
      <c r="C71" s="7"/>
      <c r="D71" s="8" t="s">
        <v>47</v>
      </c>
      <c r="E71" s="7"/>
      <c r="F71" s="7"/>
      <c r="G71" s="9"/>
      <c r="H71" s="7"/>
      <c r="I71" s="7"/>
      <c r="J71" s="9" t="n">
        <f aca="false">SUM(J70*50%)</f>
        <v>14.4583333333333</v>
      </c>
    </row>
    <row r="72" customFormat="false" ht="15" hidden="false" customHeight="false" outlineLevel="0" collapsed="false">
      <c r="A72" s="7"/>
      <c r="B72" s="7" t="n">
        <v>4</v>
      </c>
      <c r="C72" s="7"/>
      <c r="D72" s="8" t="s">
        <v>16</v>
      </c>
      <c r="E72" s="7"/>
      <c r="F72" s="7"/>
      <c r="G72" s="9"/>
      <c r="H72" s="7"/>
      <c r="I72" s="7"/>
      <c r="J72" s="9" t="n">
        <f aca="false">SUM(J68*12%/E69)</f>
        <v>3.47</v>
      </c>
    </row>
    <row r="73" customFormat="false" ht="15" hidden="false" customHeight="false" outlineLevel="0" collapsed="false">
      <c r="A73" s="7"/>
      <c r="B73" s="7" t="n">
        <v>5</v>
      </c>
      <c r="C73" s="7"/>
      <c r="D73" s="8" t="s">
        <v>18</v>
      </c>
      <c r="E73" s="7"/>
      <c r="F73" s="7"/>
      <c r="G73" s="9"/>
      <c r="H73" s="7"/>
      <c r="I73" s="7"/>
      <c r="J73" s="9" t="n">
        <f aca="false">SUM(J68*1%/E69)</f>
        <v>0.289166666666667</v>
      </c>
    </row>
    <row r="74" customFormat="false" ht="15" hidden="false" customHeight="false" outlineLevel="0" collapsed="false">
      <c r="A74" s="7"/>
      <c r="B74" s="7" t="n">
        <v>6</v>
      </c>
      <c r="C74" s="7"/>
      <c r="D74" s="8" t="s">
        <v>19</v>
      </c>
      <c r="E74" s="7"/>
      <c r="F74" s="7"/>
      <c r="G74" s="9"/>
      <c r="H74" s="7"/>
      <c r="I74" s="7"/>
      <c r="J74" s="9" t="n">
        <f aca="false">SUM(J68*2%/E69)</f>
        <v>0.578333333333333</v>
      </c>
    </row>
    <row r="75" customFormat="false" ht="15" hidden="false" customHeight="false" outlineLevel="0" collapsed="false">
      <c r="A75" s="7"/>
      <c r="B75" s="7"/>
      <c r="C75" s="7"/>
      <c r="D75" s="8" t="s">
        <v>20</v>
      </c>
      <c r="E75" s="7"/>
      <c r="F75" s="7"/>
      <c r="G75" s="9"/>
      <c r="H75" s="7"/>
      <c r="I75" s="7"/>
      <c r="J75" s="9"/>
    </row>
    <row r="76" customFormat="false" ht="15" hidden="false" customHeight="false" outlineLevel="0" collapsed="false">
      <c r="A76" s="7"/>
      <c r="B76" s="7" t="s">
        <v>21</v>
      </c>
      <c r="C76" s="7"/>
      <c r="D76" s="8" t="s">
        <v>22</v>
      </c>
      <c r="E76" s="7" t="n">
        <v>1</v>
      </c>
      <c r="F76" s="23" t="s">
        <v>12</v>
      </c>
      <c r="G76" s="9" t="n">
        <v>775</v>
      </c>
      <c r="H76" s="7" t="n">
        <v>1</v>
      </c>
      <c r="I76" s="23" t="s">
        <v>12</v>
      </c>
      <c r="J76" s="9" t="n">
        <f aca="false">G76*E76</f>
        <v>775</v>
      </c>
    </row>
    <row r="77" customFormat="false" ht="15" hidden="false" customHeight="false" outlineLevel="0" collapsed="false">
      <c r="A77" s="7"/>
      <c r="B77" s="7" t="s">
        <v>23</v>
      </c>
      <c r="C77" s="7"/>
      <c r="D77" s="8" t="s">
        <v>24</v>
      </c>
      <c r="E77" s="23" t="n">
        <v>1</v>
      </c>
      <c r="F77" s="7" t="s">
        <v>12</v>
      </c>
      <c r="G77" s="9" t="n">
        <v>650</v>
      </c>
      <c r="H77" s="7" t="n">
        <v>1</v>
      </c>
      <c r="I77" s="7" t="s">
        <v>12</v>
      </c>
      <c r="J77" s="9" t="n">
        <f aca="false">G77*E77</f>
        <v>650</v>
      </c>
    </row>
    <row r="78" customFormat="false" ht="15" hidden="false" customHeight="false" outlineLevel="0" collapsed="false">
      <c r="A78" s="7"/>
      <c r="B78" s="7"/>
      <c r="C78" s="7"/>
      <c r="D78" s="8" t="s">
        <v>63</v>
      </c>
      <c r="E78" s="7"/>
      <c r="F78" s="7"/>
      <c r="G78" s="9"/>
      <c r="H78" s="7"/>
      <c r="I78" s="7"/>
      <c r="J78" s="18" t="n">
        <f aca="false">SUM(J70:J77)</f>
        <v>1472.7125</v>
      </c>
    </row>
    <row r="79" customFormat="false" ht="15" hidden="false" customHeight="true" outlineLevel="0" collapsed="false">
      <c r="A79" s="7"/>
      <c r="B79" s="7"/>
      <c r="C79" s="7" t="s">
        <v>17</v>
      </c>
      <c r="D79" s="8" t="s">
        <v>26</v>
      </c>
      <c r="E79" s="7"/>
      <c r="F79" s="7"/>
      <c r="G79" s="13" t="n">
        <f aca="false">ROUND(J68*0.8,0)</f>
        <v>1388</v>
      </c>
      <c r="H79" s="14" t="s">
        <v>27</v>
      </c>
      <c r="I79" s="14"/>
      <c r="J79" s="9"/>
    </row>
    <row r="80" customFormat="false" ht="24" hidden="false" customHeight="true" outlineLevel="0" collapsed="false">
      <c r="A80" s="7"/>
      <c r="B80" s="7"/>
      <c r="C80" s="7" t="n">
        <v>1</v>
      </c>
      <c r="D80" s="8" t="s">
        <v>28</v>
      </c>
      <c r="E80" s="7" t="s">
        <v>29</v>
      </c>
      <c r="F80" s="7"/>
      <c r="G80" s="7" t="n">
        <v>1</v>
      </c>
      <c r="H80" s="9" t="n">
        <f aca="false">$J$78*G80</f>
        <v>1472.7125</v>
      </c>
      <c r="I80" s="9"/>
      <c r="J80" s="9" t="n">
        <f aca="false">G79</f>
        <v>1388</v>
      </c>
    </row>
    <row r="81" customFormat="false" ht="21.6" hidden="false" customHeight="false" outlineLevel="0" collapsed="false">
      <c r="A81" s="7"/>
      <c r="B81" s="7"/>
      <c r="C81" s="7" t="n">
        <v>2</v>
      </c>
      <c r="D81" s="8" t="s">
        <v>30</v>
      </c>
      <c r="E81" s="7"/>
      <c r="F81" s="7"/>
      <c r="G81" s="7" t="n">
        <v>1.5</v>
      </c>
      <c r="H81" s="9" t="n">
        <f aca="false">$J$78*G81</f>
        <v>2209.06875</v>
      </c>
      <c r="I81" s="9"/>
      <c r="J81" s="9" t="n">
        <f aca="false">J80</f>
        <v>1388</v>
      </c>
    </row>
    <row r="82" customFormat="false" ht="21.6" hidden="false" customHeight="false" outlineLevel="0" collapsed="false">
      <c r="A82" s="7"/>
      <c r="B82" s="7"/>
      <c r="C82" s="7" t="n">
        <v>3</v>
      </c>
      <c r="D82" s="8" t="s">
        <v>31</v>
      </c>
      <c r="E82" s="7"/>
      <c r="F82" s="7"/>
      <c r="G82" s="7" t="n">
        <v>2</v>
      </c>
      <c r="H82" s="9" t="n">
        <f aca="false">$J$78*G82</f>
        <v>2945.425</v>
      </c>
      <c r="I82" s="9"/>
      <c r="J82" s="9" t="n">
        <f aca="false">J81</f>
        <v>1388</v>
      </c>
    </row>
    <row r="83" customFormat="false" ht="21.6" hidden="false" customHeight="false" outlineLevel="0" collapsed="false">
      <c r="A83" s="7"/>
      <c r="B83" s="7"/>
      <c r="C83" s="7" t="n">
        <v>4</v>
      </c>
      <c r="D83" s="8" t="s">
        <v>32</v>
      </c>
      <c r="E83" s="7"/>
      <c r="F83" s="7"/>
      <c r="G83" s="7" t="n">
        <v>2.25</v>
      </c>
      <c r="H83" s="9" t="n">
        <f aca="false">$J$78*G83</f>
        <v>3313.603125</v>
      </c>
      <c r="I83" s="9"/>
      <c r="J83" s="9" t="n">
        <f aca="false">J82</f>
        <v>1388</v>
      </c>
    </row>
    <row r="84" customFormat="false" ht="21.6" hidden="false" customHeight="false" outlineLevel="0" collapsed="false">
      <c r="A84" s="7"/>
      <c r="B84" s="7"/>
      <c r="C84" s="7" t="n">
        <v>5</v>
      </c>
      <c r="D84" s="8" t="s">
        <v>33</v>
      </c>
      <c r="E84" s="7"/>
      <c r="F84" s="7"/>
      <c r="G84" s="7" t="n">
        <v>2.5</v>
      </c>
      <c r="H84" s="9" t="n">
        <f aca="false">$J$78*G84</f>
        <v>3681.78125</v>
      </c>
      <c r="I84" s="9"/>
      <c r="J84" s="9" t="n">
        <f aca="false">J83</f>
        <v>1388</v>
      </c>
    </row>
    <row r="85" customFormat="false" ht="21.6" hidden="false" customHeight="false" outlineLevel="0" collapsed="false">
      <c r="A85" s="7"/>
      <c r="B85" s="7"/>
      <c r="C85" s="7" t="n">
        <v>6</v>
      </c>
      <c r="D85" s="8" t="s">
        <v>34</v>
      </c>
      <c r="E85" s="7"/>
      <c r="F85" s="7"/>
      <c r="G85" s="7" t="n">
        <v>2.75</v>
      </c>
      <c r="H85" s="9" t="n">
        <f aca="false">$J$78*G85</f>
        <v>4049.959375</v>
      </c>
      <c r="I85" s="9"/>
      <c r="J85" s="9" t="n">
        <f aca="false">J84</f>
        <v>1388</v>
      </c>
    </row>
    <row r="86" customFormat="false" ht="21.6" hidden="false" customHeight="false" outlineLevel="0" collapsed="false">
      <c r="A86" s="7"/>
      <c r="B86" s="7"/>
      <c r="C86" s="7" t="n">
        <v>7</v>
      </c>
      <c r="D86" s="8" t="s">
        <v>35</v>
      </c>
      <c r="E86" s="7"/>
      <c r="F86" s="7"/>
      <c r="G86" s="7" t="n">
        <v>3</v>
      </c>
      <c r="H86" s="9" t="n">
        <f aca="false">$J$78*G86</f>
        <v>4418.1375</v>
      </c>
      <c r="I86" s="9"/>
      <c r="J86" s="9" t="n">
        <f aca="false">J85</f>
        <v>1388</v>
      </c>
    </row>
    <row r="87" customFormat="false" ht="21.6" hidden="false" customHeight="false" outlineLevel="0" collapsed="false">
      <c r="A87" s="7"/>
      <c r="B87" s="7"/>
      <c r="C87" s="7" t="n">
        <v>8</v>
      </c>
      <c r="D87" s="8" t="s">
        <v>36</v>
      </c>
      <c r="E87" s="7"/>
      <c r="F87" s="7"/>
      <c r="G87" s="7" t="n">
        <v>3.25</v>
      </c>
      <c r="H87" s="9" t="n">
        <f aca="false">$J$78*G87</f>
        <v>4786.315625</v>
      </c>
      <c r="I87" s="9"/>
      <c r="J87" s="9" t="n">
        <f aca="false">J86</f>
        <v>1388</v>
      </c>
    </row>
    <row r="88" customFormat="false" ht="21.6" hidden="false" customHeight="false" outlineLevel="0" collapsed="false">
      <c r="A88" s="7"/>
      <c r="B88" s="7"/>
      <c r="C88" s="7" t="n">
        <v>9</v>
      </c>
      <c r="D88" s="8" t="s">
        <v>36</v>
      </c>
      <c r="E88" s="7"/>
      <c r="F88" s="7"/>
      <c r="G88" s="7" t="n">
        <v>3.5</v>
      </c>
      <c r="H88" s="9" t="n">
        <f aca="false">$J$78*G88</f>
        <v>5154.49375</v>
      </c>
      <c r="I88" s="9"/>
      <c r="J88" s="9" t="n">
        <f aca="false">J87</f>
        <v>1388</v>
      </c>
    </row>
    <row r="89" customFormat="false" ht="21.6" hidden="false" customHeight="false" outlineLevel="0" collapsed="false">
      <c r="A89" s="7"/>
      <c r="B89" s="7"/>
      <c r="C89" s="7" t="n">
        <v>10</v>
      </c>
      <c r="D89" s="8" t="s">
        <v>37</v>
      </c>
      <c r="E89" s="7"/>
      <c r="F89" s="7"/>
      <c r="G89" s="7" t="n">
        <v>3.75</v>
      </c>
      <c r="H89" s="9" t="n">
        <f aca="false">$J$78*G89</f>
        <v>5522.671875</v>
      </c>
      <c r="I89" s="9"/>
      <c r="J89" s="9" t="n">
        <f aca="false">J88</f>
        <v>1388</v>
      </c>
    </row>
    <row r="90" customFormat="false" ht="21.6" hidden="false" customHeight="false" outlineLevel="0" collapsed="false">
      <c r="A90" s="7"/>
      <c r="B90" s="7"/>
      <c r="C90" s="7" t="n">
        <v>11</v>
      </c>
      <c r="D90" s="8" t="s">
        <v>38</v>
      </c>
      <c r="E90" s="7"/>
      <c r="F90" s="7"/>
      <c r="G90" s="7" t="n">
        <v>4</v>
      </c>
      <c r="H90" s="9" t="n">
        <f aca="false">$J$78*G90</f>
        <v>5890.85</v>
      </c>
      <c r="I90" s="9"/>
      <c r="J90" s="9" t="n">
        <f aca="false">J89</f>
        <v>1388</v>
      </c>
    </row>
    <row r="91" customFormat="false" ht="21.6" hidden="false" customHeight="false" outlineLevel="0" collapsed="false">
      <c r="A91" s="7"/>
      <c r="B91" s="7"/>
      <c r="C91" s="7" t="n">
        <v>12</v>
      </c>
      <c r="D91" s="8" t="s">
        <v>39</v>
      </c>
      <c r="E91" s="7"/>
      <c r="F91" s="7"/>
      <c r="G91" s="7" t="n">
        <v>4.25</v>
      </c>
      <c r="H91" s="9" t="n">
        <f aca="false">$J$78*G91</f>
        <v>6259.028125</v>
      </c>
      <c r="I91" s="9"/>
      <c r="J91" s="9" t="n">
        <f aca="false">J90</f>
        <v>1388</v>
      </c>
    </row>
    <row r="92" customFormat="false" ht="21.6" hidden="false" customHeight="false" outlineLevel="0" collapsed="false">
      <c r="A92" s="7"/>
      <c r="B92" s="7"/>
      <c r="C92" s="7" t="n">
        <v>13</v>
      </c>
      <c r="D92" s="8" t="s">
        <v>40</v>
      </c>
      <c r="E92" s="7"/>
      <c r="F92" s="7"/>
      <c r="G92" s="7" t="n">
        <v>4.5</v>
      </c>
      <c r="H92" s="9" t="n">
        <f aca="false">$J$78*G92</f>
        <v>6627.20625</v>
      </c>
      <c r="I92" s="9"/>
      <c r="J92" s="9" t="n">
        <f aca="false">J89</f>
        <v>1388</v>
      </c>
    </row>
    <row r="93" customFormat="false" ht="15" hidden="false" customHeight="true" outlineLevel="0" collapsed="false">
      <c r="A93" s="2" t="s">
        <v>64</v>
      </c>
      <c r="B93" s="2"/>
      <c r="C93" s="2"/>
      <c r="D93" s="2"/>
      <c r="E93" s="2"/>
      <c r="F93" s="2"/>
      <c r="G93" s="2"/>
      <c r="H93" s="2"/>
      <c r="I93" s="2"/>
      <c r="J93" s="2"/>
    </row>
    <row r="94" customFormat="false" ht="15" hidden="false" customHeight="false" outlineLevel="0" collapsed="false">
      <c r="B94" s="16"/>
      <c r="C94" s="16"/>
      <c r="D94" s="4" t="s">
        <v>2</v>
      </c>
      <c r="E94" s="16"/>
      <c r="F94" s="16"/>
      <c r="G94" s="16"/>
      <c r="H94" s="16"/>
      <c r="I94" s="16"/>
      <c r="J94" s="16"/>
    </row>
    <row r="95" customFormat="false" ht="84" hidden="false" customHeight="false" outlineLevel="0" collapsed="false">
      <c r="A95" s="7"/>
      <c r="B95" s="7" t="s">
        <v>65</v>
      </c>
      <c r="C95" s="7"/>
      <c r="D95" s="6" t="s">
        <v>66</v>
      </c>
      <c r="E95" s="6"/>
      <c r="F95" s="6"/>
      <c r="G95" s="6"/>
      <c r="H95" s="6"/>
      <c r="I95" s="6"/>
      <c r="J95" s="6"/>
    </row>
    <row r="96" customFormat="false" ht="15" hidden="false" customHeight="false" outlineLevel="0" collapsed="false">
      <c r="A96" s="7"/>
      <c r="B96" s="7"/>
      <c r="C96" s="7"/>
      <c r="D96" s="8" t="s">
        <v>4</v>
      </c>
      <c r="E96" s="7"/>
      <c r="F96" s="7"/>
      <c r="G96" s="9"/>
      <c r="H96" s="7"/>
      <c r="I96" s="7"/>
      <c r="J96" s="9"/>
    </row>
    <row r="97" customFormat="false" ht="24" hidden="false" customHeight="false" outlineLevel="0" collapsed="false">
      <c r="A97" s="7"/>
      <c r="B97" s="7" t="s">
        <v>67</v>
      </c>
      <c r="C97" s="7" t="n">
        <v>1</v>
      </c>
      <c r="D97" s="8" t="s">
        <v>68</v>
      </c>
      <c r="E97" s="7" t="n">
        <v>1000</v>
      </c>
      <c r="F97" s="7" t="s">
        <v>12</v>
      </c>
      <c r="G97" s="9" t="n">
        <v>1213</v>
      </c>
      <c r="H97" s="7" t="n">
        <v>1000</v>
      </c>
      <c r="I97" s="7" t="s">
        <v>12</v>
      </c>
      <c r="J97" s="9" t="n">
        <f aca="false">E97*G97/H97</f>
        <v>1213</v>
      </c>
    </row>
    <row r="98" customFormat="false" ht="15" hidden="false" customHeight="false" outlineLevel="0" collapsed="false">
      <c r="A98" s="7"/>
      <c r="B98" s="7"/>
      <c r="C98" s="7"/>
      <c r="D98" s="8" t="s">
        <v>4</v>
      </c>
      <c r="E98" s="7"/>
      <c r="F98" s="7"/>
      <c r="G98" s="9"/>
      <c r="H98" s="7"/>
      <c r="I98" s="7"/>
      <c r="J98" s="9" t="n">
        <f aca="false">SUM(J97:J97)</f>
        <v>1213</v>
      </c>
    </row>
    <row r="99" customFormat="false" ht="15" hidden="false" customHeight="false" outlineLevel="0" collapsed="false">
      <c r="A99" s="7"/>
      <c r="B99" s="7" t="n">
        <v>1</v>
      </c>
      <c r="C99" s="7"/>
      <c r="D99" s="8" t="s">
        <v>62</v>
      </c>
      <c r="E99" s="7" t="n">
        <v>60</v>
      </c>
      <c r="F99" s="7"/>
      <c r="G99" s="22" t="n">
        <v>60</v>
      </c>
      <c r="H99" s="7"/>
      <c r="I99" s="7"/>
      <c r="J99" s="9"/>
    </row>
    <row r="100" customFormat="false" ht="15" hidden="false" customHeight="false" outlineLevel="0" collapsed="false">
      <c r="A100" s="7"/>
      <c r="B100" s="7" t="n">
        <v>2</v>
      </c>
      <c r="C100" s="7"/>
      <c r="D100" s="8" t="s">
        <v>15</v>
      </c>
      <c r="E100" s="7"/>
      <c r="F100" s="7"/>
      <c r="G100" s="9"/>
      <c r="H100" s="7"/>
      <c r="I100" s="7"/>
      <c r="J100" s="9" t="n">
        <f aca="false">SUM(J98/G99)</f>
        <v>20.2166666666667</v>
      </c>
    </row>
    <row r="101" customFormat="false" ht="15" hidden="false" customHeight="false" outlineLevel="0" collapsed="false">
      <c r="A101" s="7"/>
      <c r="B101" s="7" t="n">
        <v>3</v>
      </c>
      <c r="C101" s="7"/>
      <c r="D101" s="8" t="s">
        <v>47</v>
      </c>
      <c r="E101" s="7"/>
      <c r="F101" s="7"/>
      <c r="G101" s="9"/>
      <c r="H101" s="7"/>
      <c r="I101" s="7"/>
      <c r="J101" s="9" t="n">
        <f aca="false">SUM(J100*50%)</f>
        <v>10.1083333333333</v>
      </c>
    </row>
    <row r="102" customFormat="false" ht="15" hidden="false" customHeight="false" outlineLevel="0" collapsed="false">
      <c r="A102" s="7"/>
      <c r="B102" s="7" t="n">
        <v>4</v>
      </c>
      <c r="C102" s="7"/>
      <c r="D102" s="8" t="s">
        <v>16</v>
      </c>
      <c r="E102" s="7"/>
      <c r="F102" s="7"/>
      <c r="G102" s="9"/>
      <c r="H102" s="7"/>
      <c r="I102" s="7"/>
      <c r="J102" s="9" t="n">
        <f aca="false">SUM(J98*12%/E99)</f>
        <v>2.426</v>
      </c>
    </row>
    <row r="103" customFormat="false" ht="15" hidden="false" customHeight="false" outlineLevel="0" collapsed="false">
      <c r="A103" s="7"/>
      <c r="B103" s="7" t="n">
        <v>5</v>
      </c>
      <c r="C103" s="7"/>
      <c r="D103" s="8" t="s">
        <v>18</v>
      </c>
      <c r="E103" s="7"/>
      <c r="F103" s="7"/>
      <c r="G103" s="9"/>
      <c r="H103" s="7"/>
      <c r="I103" s="7"/>
      <c r="J103" s="9" t="n">
        <f aca="false">SUM(J98*1%/E99)</f>
        <v>0.202166666666667</v>
      </c>
    </row>
    <row r="104" customFormat="false" ht="15" hidden="false" customHeight="false" outlineLevel="0" collapsed="false">
      <c r="A104" s="7"/>
      <c r="B104" s="7" t="n">
        <v>6</v>
      </c>
      <c r="C104" s="7"/>
      <c r="D104" s="8" t="s">
        <v>19</v>
      </c>
      <c r="E104" s="7"/>
      <c r="F104" s="7"/>
      <c r="G104" s="9"/>
      <c r="H104" s="7"/>
      <c r="I104" s="7"/>
      <c r="J104" s="9" t="n">
        <f aca="false">SUM(J98*2%/E99)</f>
        <v>0.404333333333333</v>
      </c>
    </row>
    <row r="105" customFormat="false" ht="15" hidden="false" customHeight="false" outlineLevel="0" collapsed="false">
      <c r="A105" s="7"/>
      <c r="B105" s="7"/>
      <c r="C105" s="7"/>
      <c r="D105" s="8" t="s">
        <v>20</v>
      </c>
      <c r="E105" s="7"/>
      <c r="F105" s="7"/>
      <c r="G105" s="9"/>
      <c r="H105" s="7"/>
      <c r="I105" s="7"/>
      <c r="J105" s="9"/>
    </row>
    <row r="106" customFormat="false" ht="15" hidden="false" customHeight="false" outlineLevel="0" collapsed="false">
      <c r="A106" s="7"/>
      <c r="B106" s="7" t="s">
        <v>21</v>
      </c>
      <c r="C106" s="7"/>
      <c r="D106" s="8" t="s">
        <v>22</v>
      </c>
      <c r="E106" s="9" t="n">
        <v>0.5</v>
      </c>
      <c r="F106" s="23" t="s">
        <v>12</v>
      </c>
      <c r="G106" s="9" t="n">
        <v>775</v>
      </c>
      <c r="H106" s="7" t="n">
        <v>1</v>
      </c>
      <c r="I106" s="23" t="s">
        <v>12</v>
      </c>
      <c r="J106" s="9" t="n">
        <f aca="false">G106*E106</f>
        <v>387.5</v>
      </c>
    </row>
    <row r="107" customFormat="false" ht="15" hidden="false" customHeight="false" outlineLevel="0" collapsed="false">
      <c r="A107" s="7"/>
      <c r="B107" s="7" t="s">
        <v>23</v>
      </c>
      <c r="C107" s="7"/>
      <c r="D107" s="8" t="s">
        <v>24</v>
      </c>
      <c r="E107" s="9" t="n">
        <v>1</v>
      </c>
      <c r="F107" s="7" t="s">
        <v>12</v>
      </c>
      <c r="G107" s="9" t="n">
        <v>650</v>
      </c>
      <c r="H107" s="7" t="n">
        <v>1</v>
      </c>
      <c r="I107" s="7" t="s">
        <v>12</v>
      </c>
      <c r="J107" s="9" t="n">
        <f aca="false">G107*E107</f>
        <v>650</v>
      </c>
    </row>
    <row r="108" customFormat="false" ht="15" hidden="false" customHeight="false" outlineLevel="0" collapsed="false">
      <c r="A108" s="7"/>
      <c r="B108" s="7"/>
      <c r="C108" s="7"/>
      <c r="D108" s="8" t="s">
        <v>63</v>
      </c>
      <c r="E108" s="7"/>
      <c r="F108" s="7"/>
      <c r="G108" s="13"/>
      <c r="H108" s="14"/>
      <c r="I108" s="14"/>
      <c r="J108" s="18" t="n">
        <f aca="false">ROUND(SUM(J100:J107),0)</f>
        <v>1071</v>
      </c>
    </row>
    <row r="109" customFormat="false" ht="15" hidden="false" customHeight="true" outlineLevel="0" collapsed="false">
      <c r="A109" s="7"/>
      <c r="B109" s="7"/>
      <c r="C109" s="7" t="s">
        <v>17</v>
      </c>
      <c r="D109" s="8" t="s">
        <v>26</v>
      </c>
      <c r="E109" s="7"/>
      <c r="F109" s="7"/>
      <c r="G109" s="13" t="n">
        <f aca="false">ROUND(J98*0.8,0)</f>
        <v>970</v>
      </c>
      <c r="H109" s="14" t="s">
        <v>27</v>
      </c>
      <c r="I109" s="14"/>
      <c r="J109" s="9"/>
    </row>
    <row r="110" customFormat="false" ht="24" hidden="false" customHeight="true" outlineLevel="0" collapsed="false">
      <c r="A110" s="7"/>
      <c r="B110" s="7"/>
      <c r="C110" s="7" t="n">
        <v>1</v>
      </c>
      <c r="D110" s="8" t="s">
        <v>28</v>
      </c>
      <c r="E110" s="7" t="s">
        <v>29</v>
      </c>
      <c r="F110" s="7"/>
      <c r="G110" s="7" t="n">
        <v>1</v>
      </c>
      <c r="H110" s="9" t="n">
        <f aca="false">$J$108*G110</f>
        <v>1071</v>
      </c>
      <c r="I110" s="9"/>
      <c r="J110" s="9" t="n">
        <f aca="false">G109</f>
        <v>970</v>
      </c>
    </row>
    <row r="111" customFormat="false" ht="21.6" hidden="false" customHeight="false" outlineLevel="0" collapsed="false">
      <c r="A111" s="7"/>
      <c r="B111" s="7"/>
      <c r="C111" s="7" t="n">
        <v>2</v>
      </c>
      <c r="D111" s="8" t="s">
        <v>30</v>
      </c>
      <c r="E111" s="7"/>
      <c r="F111" s="7"/>
      <c r="G111" s="7" t="n">
        <v>1.5</v>
      </c>
      <c r="H111" s="9" t="n">
        <f aca="false">$J$108*G111</f>
        <v>1606.5</v>
      </c>
      <c r="I111" s="9"/>
      <c r="J111" s="9" t="n">
        <f aca="false">J110</f>
        <v>970</v>
      </c>
    </row>
    <row r="112" customFormat="false" ht="21.6" hidden="false" customHeight="false" outlineLevel="0" collapsed="false">
      <c r="A112" s="7"/>
      <c r="B112" s="7"/>
      <c r="C112" s="7" t="n">
        <v>3</v>
      </c>
      <c r="D112" s="8" t="s">
        <v>31</v>
      </c>
      <c r="E112" s="7"/>
      <c r="F112" s="7"/>
      <c r="G112" s="7" t="n">
        <v>2</v>
      </c>
      <c r="H112" s="9" t="n">
        <f aca="false">$J$108*G112</f>
        <v>2142</v>
      </c>
      <c r="I112" s="9"/>
      <c r="J112" s="9" t="n">
        <f aca="false">J111</f>
        <v>970</v>
      </c>
    </row>
    <row r="113" customFormat="false" ht="21.6" hidden="false" customHeight="false" outlineLevel="0" collapsed="false">
      <c r="A113" s="7"/>
      <c r="B113" s="7"/>
      <c r="C113" s="7" t="n">
        <v>4</v>
      </c>
      <c r="D113" s="8" t="s">
        <v>32</v>
      </c>
      <c r="E113" s="7"/>
      <c r="F113" s="7"/>
      <c r="G113" s="7" t="n">
        <v>2.25</v>
      </c>
      <c r="H113" s="9" t="n">
        <f aca="false">$J$108*G113</f>
        <v>2409.75</v>
      </c>
      <c r="I113" s="9"/>
      <c r="J113" s="9" t="n">
        <f aca="false">J112</f>
        <v>970</v>
      </c>
    </row>
    <row r="114" customFormat="false" ht="21.6" hidden="false" customHeight="false" outlineLevel="0" collapsed="false">
      <c r="A114" s="7"/>
      <c r="B114" s="7"/>
      <c r="C114" s="7" t="n">
        <v>5</v>
      </c>
      <c r="D114" s="8" t="s">
        <v>33</v>
      </c>
      <c r="E114" s="7"/>
      <c r="F114" s="7"/>
      <c r="G114" s="7" t="n">
        <v>2.5</v>
      </c>
      <c r="H114" s="9" t="n">
        <f aca="false">$J$108*G114</f>
        <v>2677.5</v>
      </c>
      <c r="I114" s="9"/>
      <c r="J114" s="9" t="n">
        <f aca="false">J113</f>
        <v>970</v>
      </c>
    </row>
    <row r="115" customFormat="false" ht="21.6" hidden="false" customHeight="false" outlineLevel="0" collapsed="false">
      <c r="A115" s="7"/>
      <c r="B115" s="7"/>
      <c r="C115" s="7" t="n">
        <v>6</v>
      </c>
      <c r="D115" s="8" t="s">
        <v>34</v>
      </c>
      <c r="E115" s="7"/>
      <c r="F115" s="7"/>
      <c r="G115" s="7" t="n">
        <v>2.75</v>
      </c>
      <c r="H115" s="9" t="n">
        <f aca="false">$J$108*G115</f>
        <v>2945.25</v>
      </c>
      <c r="I115" s="9"/>
      <c r="J115" s="9" t="n">
        <f aca="false">J114</f>
        <v>970</v>
      </c>
    </row>
    <row r="116" customFormat="false" ht="21.6" hidden="false" customHeight="false" outlineLevel="0" collapsed="false">
      <c r="A116" s="7"/>
      <c r="B116" s="7"/>
      <c r="C116" s="7" t="n">
        <v>7</v>
      </c>
      <c r="D116" s="8" t="s">
        <v>35</v>
      </c>
      <c r="E116" s="7"/>
      <c r="F116" s="7"/>
      <c r="G116" s="7" t="n">
        <v>3</v>
      </c>
      <c r="H116" s="9" t="n">
        <f aca="false">$J$108*G116</f>
        <v>3213</v>
      </c>
      <c r="I116" s="9"/>
      <c r="J116" s="9" t="n">
        <f aca="false">J115</f>
        <v>970</v>
      </c>
    </row>
    <row r="117" customFormat="false" ht="21.6" hidden="false" customHeight="false" outlineLevel="0" collapsed="false">
      <c r="A117" s="7"/>
      <c r="B117" s="7"/>
      <c r="C117" s="7" t="n">
        <v>8</v>
      </c>
      <c r="D117" s="8" t="s">
        <v>36</v>
      </c>
      <c r="E117" s="7"/>
      <c r="F117" s="7"/>
      <c r="G117" s="7" t="n">
        <v>3.25</v>
      </c>
      <c r="H117" s="9" t="n">
        <f aca="false">$J$108*G117</f>
        <v>3480.75</v>
      </c>
      <c r="I117" s="9"/>
      <c r="J117" s="9" t="n">
        <f aca="false">J116</f>
        <v>970</v>
      </c>
    </row>
    <row r="118" customFormat="false" ht="21.6" hidden="false" customHeight="false" outlineLevel="0" collapsed="false">
      <c r="A118" s="7"/>
      <c r="B118" s="7"/>
      <c r="C118" s="7" t="n">
        <v>9</v>
      </c>
      <c r="D118" s="8" t="s">
        <v>36</v>
      </c>
      <c r="E118" s="7"/>
      <c r="F118" s="7"/>
      <c r="G118" s="7" t="n">
        <v>3.5</v>
      </c>
      <c r="H118" s="9" t="n">
        <f aca="false">$J$108*G118</f>
        <v>3748.5</v>
      </c>
      <c r="I118" s="9"/>
      <c r="J118" s="9" t="n">
        <f aca="false">J117</f>
        <v>970</v>
      </c>
    </row>
    <row r="119" customFormat="false" ht="21.6" hidden="false" customHeight="false" outlineLevel="0" collapsed="false">
      <c r="A119" s="7"/>
      <c r="B119" s="7"/>
      <c r="C119" s="7" t="n">
        <v>10</v>
      </c>
      <c r="D119" s="8" t="s">
        <v>37</v>
      </c>
      <c r="E119" s="7"/>
      <c r="F119" s="7"/>
      <c r="G119" s="7" t="n">
        <v>3.75</v>
      </c>
      <c r="H119" s="9" t="n">
        <f aca="false">$J$108*G119</f>
        <v>4016.25</v>
      </c>
      <c r="I119" s="9"/>
      <c r="J119" s="9" t="n">
        <f aca="false">J118</f>
        <v>970</v>
      </c>
    </row>
    <row r="120" customFormat="false" ht="21.6" hidden="false" customHeight="false" outlineLevel="0" collapsed="false">
      <c r="A120" s="7"/>
      <c r="B120" s="7"/>
      <c r="C120" s="7" t="n">
        <v>11</v>
      </c>
      <c r="D120" s="8" t="s">
        <v>38</v>
      </c>
      <c r="E120" s="7"/>
      <c r="F120" s="7"/>
      <c r="G120" s="7" t="n">
        <v>4</v>
      </c>
      <c r="H120" s="9" t="n">
        <f aca="false">$J$108*G120</f>
        <v>4284</v>
      </c>
      <c r="I120" s="9"/>
      <c r="J120" s="9" t="n">
        <f aca="false">J119</f>
        <v>970</v>
      </c>
    </row>
    <row r="121" customFormat="false" ht="21.6" hidden="false" customHeight="false" outlineLevel="0" collapsed="false">
      <c r="A121" s="7"/>
      <c r="B121" s="7"/>
      <c r="C121" s="7" t="n">
        <v>12</v>
      </c>
      <c r="D121" s="8" t="s">
        <v>39</v>
      </c>
      <c r="E121" s="7"/>
      <c r="F121" s="7"/>
      <c r="G121" s="7" t="n">
        <v>4.25</v>
      </c>
      <c r="H121" s="9" t="n">
        <f aca="false">$J$108*G121</f>
        <v>4551.75</v>
      </c>
      <c r="I121" s="9"/>
      <c r="J121" s="9" t="n">
        <f aca="false">J120</f>
        <v>970</v>
      </c>
    </row>
    <row r="122" customFormat="false" ht="21.6" hidden="false" customHeight="false" outlineLevel="0" collapsed="false">
      <c r="A122" s="7"/>
      <c r="B122" s="7"/>
      <c r="C122" s="7" t="n">
        <v>13</v>
      </c>
      <c r="D122" s="8" t="s">
        <v>40</v>
      </c>
      <c r="E122" s="7"/>
      <c r="F122" s="7"/>
      <c r="G122" s="7" t="n">
        <v>4.5</v>
      </c>
      <c r="H122" s="9" t="n">
        <f aca="false">$J$108*G122</f>
        <v>4819.5</v>
      </c>
      <c r="I122" s="9"/>
      <c r="J122" s="9" t="n">
        <f aca="false">J119</f>
        <v>970</v>
      </c>
    </row>
    <row r="123" customFormat="false" ht="15" hidden="false" customHeight="true" outlineLevel="0" collapsed="false">
      <c r="A123" s="2" t="s">
        <v>69</v>
      </c>
      <c r="B123" s="2"/>
      <c r="C123" s="2"/>
      <c r="D123" s="2"/>
      <c r="E123" s="2"/>
      <c r="F123" s="2"/>
      <c r="G123" s="2"/>
      <c r="H123" s="2"/>
      <c r="I123" s="2"/>
      <c r="J123" s="2"/>
    </row>
    <row r="124" customFormat="false" ht="15" hidden="false" customHeight="false" outlineLevel="0" collapsed="false">
      <c r="A124" s="3"/>
      <c r="B124" s="3"/>
      <c r="C124" s="3"/>
      <c r="D124" s="4" t="s">
        <v>2</v>
      </c>
      <c r="E124" s="3"/>
      <c r="F124" s="3"/>
      <c r="G124" s="3"/>
      <c r="H124" s="3"/>
      <c r="I124" s="3"/>
      <c r="J124" s="3"/>
    </row>
    <row r="125" customFormat="false" ht="72" hidden="false" customHeight="false" outlineLevel="0" collapsed="false">
      <c r="A125" s="7"/>
      <c r="B125" s="7"/>
      <c r="C125" s="7"/>
      <c r="D125" s="6" t="s">
        <v>70</v>
      </c>
      <c r="E125" s="6"/>
      <c r="F125" s="6"/>
      <c r="G125" s="6"/>
      <c r="H125" s="6"/>
      <c r="I125" s="6"/>
      <c r="J125" s="6"/>
    </row>
    <row r="126" customFormat="false" ht="15" hidden="false" customHeight="false" outlineLevel="0" collapsed="false">
      <c r="A126" s="7"/>
      <c r="B126" s="7"/>
      <c r="C126" s="7"/>
      <c r="D126" s="19" t="s">
        <v>4</v>
      </c>
      <c r="E126" s="7"/>
      <c r="F126" s="7"/>
      <c r="G126" s="9"/>
      <c r="H126" s="7"/>
      <c r="I126" s="7"/>
      <c r="J126" s="9"/>
    </row>
    <row r="127" customFormat="false" ht="72" hidden="false" customHeight="false" outlineLevel="0" collapsed="false">
      <c r="A127" s="7"/>
      <c r="B127" s="7" t="s">
        <v>71</v>
      </c>
      <c r="C127" s="7" t="n">
        <v>1</v>
      </c>
      <c r="D127" s="24" t="s">
        <v>72</v>
      </c>
      <c r="E127" s="7" t="n">
        <v>1</v>
      </c>
      <c r="F127" s="7" t="s">
        <v>12</v>
      </c>
      <c r="G127" s="9" t="n">
        <v>1200</v>
      </c>
      <c r="H127" s="7" t="n">
        <v>1</v>
      </c>
      <c r="I127" s="7" t="s">
        <v>12</v>
      </c>
      <c r="J127" s="9" t="n">
        <f aca="false">E127*G127</f>
        <v>1200</v>
      </c>
    </row>
    <row r="128" customFormat="false" ht="15" hidden="false" customHeight="false" outlineLevel="0" collapsed="false">
      <c r="A128" s="7"/>
      <c r="B128" s="7"/>
      <c r="C128" s="7"/>
      <c r="D128" s="19" t="s">
        <v>25</v>
      </c>
      <c r="E128" s="7"/>
      <c r="F128" s="7"/>
      <c r="G128" s="9"/>
      <c r="H128" s="7"/>
      <c r="I128" s="7"/>
      <c r="J128" s="9" t="n">
        <f aca="false">J127</f>
        <v>1200</v>
      </c>
    </row>
    <row r="129" customFormat="false" ht="15" hidden="false" customHeight="false" outlineLevel="0" collapsed="false">
      <c r="A129" s="14"/>
      <c r="B129" s="14"/>
      <c r="C129" s="14"/>
      <c r="D129" s="25" t="s">
        <v>73</v>
      </c>
      <c r="E129" s="14"/>
      <c r="F129" s="14"/>
      <c r="G129" s="13"/>
      <c r="H129" s="14"/>
      <c r="I129" s="14"/>
      <c r="J129" s="26" t="n">
        <f aca="false">ROUND(J128,0)</f>
        <v>1200</v>
      </c>
    </row>
    <row r="130" customFormat="false" ht="15" hidden="false" customHeight="true" outlineLevel="0" collapsed="false">
      <c r="A130" s="14"/>
      <c r="B130" s="14"/>
      <c r="C130" s="7" t="s">
        <v>17</v>
      </c>
      <c r="D130" s="8" t="s">
        <v>26</v>
      </c>
      <c r="E130" s="7"/>
      <c r="F130" s="7"/>
      <c r="G130" s="13" t="n">
        <f aca="false">60000*80%</f>
        <v>48000</v>
      </c>
      <c r="H130" s="14" t="s">
        <v>27</v>
      </c>
      <c r="I130" s="14"/>
      <c r="J130" s="9"/>
    </row>
    <row r="131" customFormat="false" ht="24" hidden="false" customHeight="true" outlineLevel="0" collapsed="false">
      <c r="A131" s="7"/>
      <c r="B131" s="7"/>
      <c r="C131" s="7" t="n">
        <v>1</v>
      </c>
      <c r="D131" s="8" t="s">
        <v>28</v>
      </c>
      <c r="E131" s="7" t="s">
        <v>29</v>
      </c>
      <c r="F131" s="7"/>
      <c r="G131" s="7" t="n">
        <v>1</v>
      </c>
      <c r="H131" s="9" t="n">
        <f aca="false">$J$129*G131</f>
        <v>1200</v>
      </c>
      <c r="I131" s="9"/>
      <c r="J131" s="9" t="n">
        <f aca="false">ROUND(H131,0)</f>
        <v>1200</v>
      </c>
    </row>
    <row r="132" customFormat="false" ht="21.6" hidden="false" customHeight="false" outlineLevel="0" collapsed="false">
      <c r="A132" s="7"/>
      <c r="B132" s="7"/>
      <c r="C132" s="7" t="n">
        <v>2</v>
      </c>
      <c r="D132" s="8" t="s">
        <v>30</v>
      </c>
      <c r="E132" s="7"/>
      <c r="F132" s="7"/>
      <c r="G132" s="7" t="n">
        <v>1.5</v>
      </c>
      <c r="H132" s="9" t="n">
        <f aca="false">$J$129*G132</f>
        <v>1800</v>
      </c>
      <c r="I132" s="9"/>
      <c r="J132" s="9" t="n">
        <f aca="false">ROUND(H132,0)</f>
        <v>1800</v>
      </c>
    </row>
    <row r="133" customFormat="false" ht="21.6" hidden="false" customHeight="false" outlineLevel="0" collapsed="false">
      <c r="A133" s="7"/>
      <c r="B133" s="7"/>
      <c r="C133" s="7" t="n">
        <v>3</v>
      </c>
      <c r="D133" s="8" t="s">
        <v>31</v>
      </c>
      <c r="E133" s="7"/>
      <c r="F133" s="7"/>
      <c r="G133" s="7" t="n">
        <v>2</v>
      </c>
      <c r="H133" s="9" t="n">
        <f aca="false">$J$129*G133</f>
        <v>2400</v>
      </c>
      <c r="I133" s="9"/>
      <c r="J133" s="9" t="n">
        <f aca="false">ROUND(H133,0)</f>
        <v>2400</v>
      </c>
    </row>
    <row r="134" customFormat="false" ht="21.6" hidden="false" customHeight="false" outlineLevel="0" collapsed="false">
      <c r="A134" s="7"/>
      <c r="B134" s="7"/>
      <c r="C134" s="7" t="n">
        <v>4</v>
      </c>
      <c r="D134" s="8" t="s">
        <v>32</v>
      </c>
      <c r="E134" s="7"/>
      <c r="F134" s="7"/>
      <c r="G134" s="7" t="n">
        <v>2.25</v>
      </c>
      <c r="H134" s="9" t="n">
        <f aca="false">$J$129*G134</f>
        <v>2700</v>
      </c>
      <c r="I134" s="9"/>
      <c r="J134" s="9" t="n">
        <f aca="false">ROUND(H134,0)</f>
        <v>2700</v>
      </c>
    </row>
    <row r="135" customFormat="false" ht="21.6" hidden="false" customHeight="false" outlineLevel="0" collapsed="false">
      <c r="A135" s="7"/>
      <c r="B135" s="7"/>
      <c r="C135" s="7" t="n">
        <v>5</v>
      </c>
      <c r="D135" s="8" t="s">
        <v>33</v>
      </c>
      <c r="E135" s="7"/>
      <c r="F135" s="7"/>
      <c r="G135" s="7" t="n">
        <v>2.5</v>
      </c>
      <c r="H135" s="9" t="n">
        <f aca="false">$J$129*G135</f>
        <v>3000</v>
      </c>
      <c r="I135" s="9"/>
      <c r="J135" s="9" t="n">
        <f aca="false">ROUND(H135,0)</f>
        <v>3000</v>
      </c>
    </row>
    <row r="136" customFormat="false" ht="21.6" hidden="false" customHeight="false" outlineLevel="0" collapsed="false">
      <c r="A136" s="7"/>
      <c r="B136" s="7"/>
      <c r="C136" s="7" t="n">
        <v>6</v>
      </c>
      <c r="D136" s="8" t="s">
        <v>34</v>
      </c>
      <c r="E136" s="7"/>
      <c r="F136" s="7"/>
      <c r="G136" s="7" t="n">
        <v>2.75</v>
      </c>
      <c r="H136" s="9" t="n">
        <f aca="false">$J$129*G136</f>
        <v>3300</v>
      </c>
      <c r="I136" s="9"/>
      <c r="J136" s="9" t="n">
        <f aca="false">ROUND(H136,0)</f>
        <v>3300</v>
      </c>
    </row>
    <row r="137" customFormat="false" ht="21.6" hidden="false" customHeight="false" outlineLevel="0" collapsed="false">
      <c r="A137" s="7"/>
      <c r="B137" s="7"/>
      <c r="C137" s="7" t="n">
        <v>7</v>
      </c>
      <c r="D137" s="8" t="s">
        <v>35</v>
      </c>
      <c r="E137" s="7"/>
      <c r="F137" s="7"/>
      <c r="G137" s="7" t="n">
        <v>3</v>
      </c>
      <c r="H137" s="9" t="n">
        <f aca="false">$J$129*G137</f>
        <v>3600</v>
      </c>
      <c r="I137" s="9"/>
      <c r="J137" s="9" t="n">
        <f aca="false">ROUND(H137,0)</f>
        <v>3600</v>
      </c>
    </row>
    <row r="138" customFormat="false" ht="21.6" hidden="false" customHeight="false" outlineLevel="0" collapsed="false">
      <c r="A138" s="7"/>
      <c r="B138" s="7"/>
      <c r="C138" s="7" t="n">
        <v>8</v>
      </c>
      <c r="D138" s="8" t="s">
        <v>36</v>
      </c>
      <c r="E138" s="7"/>
      <c r="F138" s="7"/>
      <c r="G138" s="7" t="n">
        <v>3.25</v>
      </c>
      <c r="H138" s="9" t="n">
        <f aca="false">$J$129*G138</f>
        <v>3900</v>
      </c>
      <c r="I138" s="9"/>
      <c r="J138" s="9" t="n">
        <f aca="false">ROUND(H138,0)</f>
        <v>3900</v>
      </c>
    </row>
    <row r="139" customFormat="false" ht="21.6" hidden="false" customHeight="false" outlineLevel="0" collapsed="false">
      <c r="A139" s="7"/>
      <c r="B139" s="7"/>
      <c r="C139" s="7" t="n">
        <v>9</v>
      </c>
      <c r="D139" s="8" t="s">
        <v>36</v>
      </c>
      <c r="E139" s="7"/>
      <c r="F139" s="7"/>
      <c r="G139" s="7" t="n">
        <v>3.5</v>
      </c>
      <c r="H139" s="9" t="n">
        <f aca="false">$J$129*G139</f>
        <v>4200</v>
      </c>
      <c r="I139" s="9"/>
      <c r="J139" s="9" t="n">
        <f aca="false">ROUND(H139,0)</f>
        <v>4200</v>
      </c>
    </row>
    <row r="140" customFormat="false" ht="21.6" hidden="false" customHeight="false" outlineLevel="0" collapsed="false">
      <c r="A140" s="7"/>
      <c r="B140" s="7"/>
      <c r="C140" s="7" t="n">
        <v>10</v>
      </c>
      <c r="D140" s="8" t="s">
        <v>37</v>
      </c>
      <c r="E140" s="7"/>
      <c r="F140" s="7"/>
      <c r="G140" s="7" t="n">
        <v>3.75</v>
      </c>
      <c r="H140" s="9" t="n">
        <f aca="false">$J$129*G140</f>
        <v>4500</v>
      </c>
      <c r="I140" s="9"/>
      <c r="J140" s="9" t="n">
        <f aca="false">ROUND(H140,0)</f>
        <v>4500</v>
      </c>
    </row>
    <row r="141" customFormat="false" ht="21.6" hidden="false" customHeight="false" outlineLevel="0" collapsed="false">
      <c r="A141" s="7"/>
      <c r="B141" s="7"/>
      <c r="C141" s="7" t="n">
        <v>11</v>
      </c>
      <c r="D141" s="8" t="s">
        <v>38</v>
      </c>
      <c r="E141" s="7"/>
      <c r="F141" s="7"/>
      <c r="G141" s="7" t="n">
        <v>4</v>
      </c>
      <c r="H141" s="9" t="n">
        <f aca="false">$J$129*G141</f>
        <v>4800</v>
      </c>
      <c r="I141" s="9"/>
      <c r="J141" s="9" t="n">
        <f aca="false">ROUND(H141,0)</f>
        <v>4800</v>
      </c>
    </row>
    <row r="142" customFormat="false" ht="21.6" hidden="false" customHeight="false" outlineLevel="0" collapsed="false">
      <c r="A142" s="7"/>
      <c r="B142" s="7"/>
      <c r="C142" s="7" t="n">
        <v>12</v>
      </c>
      <c r="D142" s="8" t="s">
        <v>39</v>
      </c>
      <c r="E142" s="7"/>
      <c r="F142" s="7"/>
      <c r="G142" s="7" t="n">
        <v>4.25</v>
      </c>
      <c r="H142" s="9" t="n">
        <f aca="false">$J$129*G142</f>
        <v>5100</v>
      </c>
      <c r="I142" s="9"/>
      <c r="J142" s="9" t="n">
        <f aca="false">ROUND(H142,0)</f>
        <v>5100</v>
      </c>
    </row>
    <row r="143" customFormat="false" ht="21.6" hidden="false" customHeight="false" outlineLevel="0" collapsed="false">
      <c r="A143" s="7"/>
      <c r="B143" s="7"/>
      <c r="C143" s="7" t="n">
        <v>13</v>
      </c>
      <c r="D143" s="8" t="s">
        <v>40</v>
      </c>
      <c r="E143" s="7"/>
      <c r="F143" s="7"/>
      <c r="G143" s="7" t="n">
        <v>4.5</v>
      </c>
      <c r="H143" s="9" t="n">
        <f aca="false">$J$129*G143</f>
        <v>5400</v>
      </c>
      <c r="I143" s="9"/>
      <c r="J143" s="9" t="n">
        <f aca="false">ROUND(H143,0)</f>
        <v>5400</v>
      </c>
    </row>
    <row r="144" customFormat="false" ht="15" hidden="false" customHeight="true" outlineLevel="0" collapsed="false">
      <c r="A144" s="2" t="s">
        <v>74</v>
      </c>
      <c r="B144" s="2"/>
      <c r="C144" s="2"/>
      <c r="D144" s="2"/>
      <c r="E144" s="2"/>
      <c r="F144" s="2"/>
      <c r="G144" s="2"/>
      <c r="H144" s="2"/>
      <c r="I144" s="2"/>
      <c r="J144" s="2"/>
    </row>
    <row r="145" customFormat="false" ht="15" hidden="false" customHeight="false" outlineLevel="0" collapsed="false">
      <c r="A145" s="3"/>
      <c r="B145" s="3"/>
      <c r="C145" s="3"/>
      <c r="D145" s="4" t="s">
        <v>2</v>
      </c>
      <c r="E145" s="3"/>
      <c r="F145" s="3"/>
      <c r="G145" s="3"/>
      <c r="H145" s="3"/>
      <c r="I145" s="3"/>
      <c r="J145" s="3"/>
    </row>
    <row r="146" customFormat="false" ht="108" hidden="false" customHeight="false" outlineLevel="0" collapsed="false">
      <c r="A146" s="7"/>
      <c r="B146" s="7"/>
      <c r="C146" s="7"/>
      <c r="D146" s="19" t="s">
        <v>75</v>
      </c>
      <c r="E146" s="7"/>
      <c r="F146" s="7"/>
      <c r="G146" s="9"/>
      <c r="H146" s="7"/>
      <c r="I146" s="7"/>
      <c r="J146" s="9"/>
    </row>
    <row r="147" customFormat="false" ht="15" hidden="false" customHeight="false" outlineLevel="0" collapsed="false">
      <c r="A147" s="7"/>
      <c r="B147" s="7"/>
      <c r="C147" s="7"/>
      <c r="D147" s="19" t="s">
        <v>4</v>
      </c>
      <c r="E147" s="7"/>
      <c r="F147" s="7"/>
      <c r="G147" s="9"/>
      <c r="H147" s="7"/>
      <c r="I147" s="7"/>
      <c r="J147" s="9"/>
    </row>
    <row r="148" customFormat="false" ht="108" hidden="false" customHeight="false" outlineLevel="0" collapsed="false">
      <c r="A148" s="7"/>
      <c r="B148" s="7" t="s">
        <v>76</v>
      </c>
      <c r="C148" s="7" t="n">
        <v>1</v>
      </c>
      <c r="D148" s="19" t="s">
        <v>75</v>
      </c>
      <c r="E148" s="7" t="n">
        <v>5.5</v>
      </c>
      <c r="F148" s="7" t="s">
        <v>77</v>
      </c>
      <c r="G148" s="9" t="n">
        <v>2900</v>
      </c>
      <c r="H148" s="7" t="n">
        <v>1</v>
      </c>
      <c r="I148" s="7" t="s">
        <v>77</v>
      </c>
      <c r="J148" s="9" t="n">
        <f aca="false">G148*E148</f>
        <v>15950</v>
      </c>
    </row>
    <row r="149" customFormat="false" ht="24" hidden="false" customHeight="true" outlineLevel="0" collapsed="false">
      <c r="A149" s="7"/>
      <c r="B149" s="7"/>
      <c r="C149" s="7"/>
      <c r="D149" s="8" t="s">
        <v>28</v>
      </c>
      <c r="E149" s="7" t="s">
        <v>29</v>
      </c>
      <c r="F149" s="7"/>
      <c r="G149" s="7" t="n">
        <v>1</v>
      </c>
      <c r="H149" s="9" t="n">
        <v>15950</v>
      </c>
      <c r="I149" s="9"/>
      <c r="J149" s="9" t="n">
        <f aca="false">ROUND(H149,0)</f>
        <v>15950</v>
      </c>
    </row>
    <row r="150" customFormat="false" ht="24" hidden="false" customHeight="false" outlineLevel="0" collapsed="false">
      <c r="A150" s="7"/>
      <c r="B150" s="7"/>
      <c r="C150" s="7"/>
      <c r="D150" s="8" t="s">
        <v>30</v>
      </c>
      <c r="E150" s="7"/>
      <c r="F150" s="7"/>
      <c r="G150" s="7" t="n">
        <v>1.5</v>
      </c>
      <c r="H150" s="9" t="n">
        <v>15950</v>
      </c>
      <c r="I150" s="9"/>
      <c r="J150" s="9" t="n">
        <f aca="false">ROUND(H150,0)</f>
        <v>15950</v>
      </c>
    </row>
    <row r="151" customFormat="false" ht="24" hidden="false" customHeight="false" outlineLevel="0" collapsed="false">
      <c r="A151" s="7"/>
      <c r="B151" s="7"/>
      <c r="C151" s="7"/>
      <c r="D151" s="8" t="s">
        <v>31</v>
      </c>
      <c r="E151" s="7"/>
      <c r="F151" s="7"/>
      <c r="G151" s="7" t="n">
        <v>2</v>
      </c>
      <c r="H151" s="9" t="n">
        <v>15950</v>
      </c>
      <c r="I151" s="9"/>
      <c r="J151" s="9" t="n">
        <f aca="false">ROUND(H151,0)</f>
        <v>15950</v>
      </c>
    </row>
    <row r="152" customFormat="false" ht="24" hidden="false" customHeight="false" outlineLevel="0" collapsed="false">
      <c r="A152" s="7"/>
      <c r="B152" s="7"/>
      <c r="C152" s="7"/>
      <c r="D152" s="8" t="s">
        <v>32</v>
      </c>
      <c r="E152" s="7"/>
      <c r="F152" s="7"/>
      <c r="G152" s="7" t="n">
        <v>2.25</v>
      </c>
      <c r="H152" s="9" t="n">
        <v>15950</v>
      </c>
      <c r="I152" s="9"/>
      <c r="J152" s="9" t="n">
        <f aca="false">ROUND(H152,0)</f>
        <v>15950</v>
      </c>
    </row>
    <row r="153" customFormat="false" ht="24" hidden="false" customHeight="false" outlineLevel="0" collapsed="false">
      <c r="A153" s="7"/>
      <c r="B153" s="7"/>
      <c r="C153" s="7"/>
      <c r="D153" s="8" t="s">
        <v>33</v>
      </c>
      <c r="E153" s="7"/>
      <c r="F153" s="7"/>
      <c r="G153" s="7" t="n">
        <v>2.5</v>
      </c>
      <c r="H153" s="9" t="n">
        <v>15950</v>
      </c>
      <c r="I153" s="9"/>
      <c r="J153" s="9" t="n">
        <f aca="false">ROUND(H153,0)</f>
        <v>15950</v>
      </c>
    </row>
    <row r="154" customFormat="false" ht="24" hidden="false" customHeight="false" outlineLevel="0" collapsed="false">
      <c r="A154" s="7"/>
      <c r="B154" s="7"/>
      <c r="C154" s="7"/>
      <c r="D154" s="8" t="s">
        <v>34</v>
      </c>
      <c r="E154" s="7"/>
      <c r="F154" s="7"/>
      <c r="G154" s="7" t="n">
        <v>2.75</v>
      </c>
      <c r="H154" s="9" t="n">
        <v>15950</v>
      </c>
      <c r="I154" s="9"/>
      <c r="J154" s="9" t="n">
        <f aca="false">ROUND(H154,0)</f>
        <v>15950</v>
      </c>
    </row>
    <row r="155" customFormat="false" ht="24" hidden="false" customHeight="false" outlineLevel="0" collapsed="false">
      <c r="A155" s="7"/>
      <c r="B155" s="7"/>
      <c r="C155" s="7"/>
      <c r="D155" s="8" t="s">
        <v>35</v>
      </c>
      <c r="E155" s="7"/>
      <c r="F155" s="7"/>
      <c r="G155" s="7" t="n">
        <v>3</v>
      </c>
      <c r="H155" s="9" t="n">
        <v>15950</v>
      </c>
      <c r="I155" s="9"/>
      <c r="J155" s="9" t="n">
        <f aca="false">ROUND(H155,0)</f>
        <v>15950</v>
      </c>
    </row>
    <row r="156" customFormat="false" ht="24" hidden="false" customHeight="false" outlineLevel="0" collapsed="false">
      <c r="A156" s="7"/>
      <c r="B156" s="7"/>
      <c r="C156" s="7"/>
      <c r="D156" s="8" t="s">
        <v>36</v>
      </c>
      <c r="E156" s="7"/>
      <c r="F156" s="7"/>
      <c r="G156" s="7" t="n">
        <v>3.25</v>
      </c>
      <c r="H156" s="9" t="n">
        <v>15950</v>
      </c>
      <c r="I156" s="9"/>
      <c r="J156" s="9" t="n">
        <f aca="false">ROUND(H156,0)</f>
        <v>15950</v>
      </c>
    </row>
    <row r="157" customFormat="false" ht="24" hidden="false" customHeight="false" outlineLevel="0" collapsed="false">
      <c r="A157" s="7"/>
      <c r="B157" s="7"/>
      <c r="C157" s="7"/>
      <c r="D157" s="8" t="s">
        <v>36</v>
      </c>
      <c r="E157" s="7"/>
      <c r="F157" s="7"/>
      <c r="G157" s="7" t="n">
        <v>3.5</v>
      </c>
      <c r="H157" s="9" t="n">
        <v>15950</v>
      </c>
      <c r="I157" s="9"/>
      <c r="J157" s="9" t="n">
        <f aca="false">ROUND(H157,0)</f>
        <v>15950</v>
      </c>
    </row>
    <row r="158" customFormat="false" ht="24" hidden="false" customHeight="false" outlineLevel="0" collapsed="false">
      <c r="A158" s="7"/>
      <c r="B158" s="7"/>
      <c r="C158" s="7"/>
      <c r="D158" s="8" t="s">
        <v>37</v>
      </c>
      <c r="E158" s="7"/>
      <c r="F158" s="7"/>
      <c r="G158" s="7" t="n">
        <v>3.75</v>
      </c>
      <c r="H158" s="9" t="n">
        <v>15950</v>
      </c>
      <c r="I158" s="9"/>
      <c r="J158" s="9" t="n">
        <f aca="false">ROUND(H158,0)</f>
        <v>15950</v>
      </c>
    </row>
    <row r="159" customFormat="false" ht="24" hidden="false" customHeight="false" outlineLevel="0" collapsed="false">
      <c r="A159" s="7"/>
      <c r="B159" s="7"/>
      <c r="C159" s="7"/>
      <c r="D159" s="8" t="s">
        <v>38</v>
      </c>
      <c r="E159" s="7"/>
      <c r="F159" s="7"/>
      <c r="G159" s="7" t="n">
        <v>4</v>
      </c>
      <c r="H159" s="9" t="n">
        <v>15950</v>
      </c>
      <c r="I159" s="9"/>
      <c r="J159" s="9" t="n">
        <f aca="false">ROUND(H159,0)</f>
        <v>15950</v>
      </c>
    </row>
    <row r="160" customFormat="false" ht="24" hidden="false" customHeight="false" outlineLevel="0" collapsed="false">
      <c r="A160" s="7"/>
      <c r="B160" s="7"/>
      <c r="C160" s="7"/>
      <c r="D160" s="8" t="s">
        <v>39</v>
      </c>
      <c r="E160" s="7"/>
      <c r="F160" s="7"/>
      <c r="G160" s="7" t="n">
        <v>4.25</v>
      </c>
      <c r="H160" s="9" t="n">
        <v>15950</v>
      </c>
      <c r="I160" s="9"/>
      <c r="J160" s="9" t="n">
        <f aca="false">ROUND(H160,0)</f>
        <v>15950</v>
      </c>
    </row>
    <row r="161" customFormat="false" ht="24" hidden="false" customHeight="false" outlineLevel="0" collapsed="false">
      <c r="A161" s="7"/>
      <c r="B161" s="7"/>
      <c r="C161" s="7"/>
      <c r="D161" s="8" t="s">
        <v>40</v>
      </c>
      <c r="E161" s="7"/>
      <c r="F161" s="7"/>
      <c r="G161" s="7" t="n">
        <v>4.5</v>
      </c>
      <c r="H161" s="9" t="n">
        <v>15950</v>
      </c>
      <c r="I161" s="9"/>
      <c r="J161" s="9" t="n">
        <f aca="false">ROUND(H161,0)</f>
        <v>15950</v>
      </c>
    </row>
    <row r="162" customFormat="false" ht="15" hidden="false" customHeight="true" outlineLevel="0" collapsed="false">
      <c r="A162" s="2" t="s">
        <v>78</v>
      </c>
      <c r="B162" s="2"/>
      <c r="C162" s="2"/>
      <c r="D162" s="2"/>
      <c r="E162" s="2"/>
      <c r="F162" s="2"/>
      <c r="G162" s="2"/>
      <c r="H162" s="2"/>
      <c r="I162" s="2"/>
      <c r="J162" s="2"/>
    </row>
    <row r="163" customFormat="false" ht="15" hidden="false" customHeight="false" outlineLevel="0" collapsed="false">
      <c r="A163" s="3"/>
      <c r="B163" s="3"/>
      <c r="C163" s="3"/>
      <c r="D163" s="4" t="s">
        <v>2</v>
      </c>
      <c r="E163" s="3"/>
      <c r="F163" s="3"/>
      <c r="G163" s="3"/>
      <c r="H163" s="3"/>
      <c r="I163" s="3"/>
      <c r="J163" s="3"/>
    </row>
    <row r="164" customFormat="false" ht="120" hidden="false" customHeight="false" outlineLevel="0" collapsed="false">
      <c r="A164" s="5"/>
      <c r="B164" s="5"/>
      <c r="C164" s="5"/>
      <c r="D164" s="6" t="s">
        <v>79</v>
      </c>
      <c r="E164" s="6"/>
      <c r="F164" s="6"/>
      <c r="G164" s="6"/>
      <c r="H164" s="6"/>
      <c r="I164" s="6"/>
      <c r="J164" s="6"/>
    </row>
    <row r="165" customFormat="false" ht="15" hidden="false" customHeight="false" outlineLevel="0" collapsed="false">
      <c r="A165" s="7"/>
      <c r="B165" s="7"/>
      <c r="C165" s="7"/>
      <c r="D165" s="8" t="s">
        <v>4</v>
      </c>
      <c r="E165" s="7"/>
      <c r="F165" s="7"/>
      <c r="G165" s="9"/>
      <c r="H165" s="7"/>
      <c r="I165" s="7"/>
      <c r="J165" s="9"/>
    </row>
    <row r="166" customFormat="false" ht="60" hidden="false" customHeight="false" outlineLevel="0" collapsed="false">
      <c r="A166" s="7"/>
      <c r="B166" s="7"/>
      <c r="C166" s="7" t="n">
        <v>1</v>
      </c>
      <c r="D166" s="8" t="s">
        <v>80</v>
      </c>
      <c r="E166" s="7" t="n">
        <v>1</v>
      </c>
      <c r="F166" s="7" t="s">
        <v>12</v>
      </c>
      <c r="G166" s="27" t="n">
        <v>16000</v>
      </c>
      <c r="H166" s="7" t="n">
        <v>1</v>
      </c>
      <c r="I166" s="7" t="s">
        <v>12</v>
      </c>
      <c r="J166" s="9" t="n">
        <f aca="false">E166*G166</f>
        <v>16000</v>
      </c>
    </row>
    <row r="167" customFormat="false" ht="15" hidden="false" customHeight="false" outlineLevel="0" collapsed="false">
      <c r="A167" s="7"/>
      <c r="B167" s="7"/>
      <c r="C167" s="7"/>
      <c r="D167" s="8" t="s">
        <v>4</v>
      </c>
      <c r="E167" s="7"/>
      <c r="F167" s="7"/>
      <c r="G167" s="9"/>
      <c r="H167" s="7"/>
      <c r="I167" s="7"/>
      <c r="J167" s="9" t="n">
        <f aca="false">SUM(J166:J166)</f>
        <v>16000</v>
      </c>
    </row>
    <row r="168" customFormat="false" ht="15" hidden="false" customHeight="false" outlineLevel="0" collapsed="false">
      <c r="A168" s="7"/>
      <c r="B168" s="7"/>
      <c r="C168" s="7"/>
      <c r="D168" s="8" t="s">
        <v>81</v>
      </c>
      <c r="E168" s="7"/>
      <c r="F168" s="7"/>
      <c r="G168" s="9"/>
      <c r="H168" s="7"/>
      <c r="I168" s="7"/>
      <c r="J168" s="9"/>
    </row>
    <row r="169" customFormat="false" ht="15" hidden="false" customHeight="false" outlineLevel="0" collapsed="false">
      <c r="A169" s="7"/>
      <c r="B169" s="7" t="n">
        <v>1</v>
      </c>
      <c r="C169" s="7"/>
      <c r="D169" s="8" t="s">
        <v>15</v>
      </c>
      <c r="E169" s="7"/>
      <c r="F169" s="7"/>
      <c r="G169" s="9"/>
      <c r="H169" s="7"/>
      <c r="I169" s="7"/>
      <c r="J169" s="9" t="n">
        <f aca="false">SUM(J167/180)</f>
        <v>88.8888888888889</v>
      </c>
    </row>
    <row r="170" customFormat="false" ht="15" hidden="false" customHeight="false" outlineLevel="0" collapsed="false">
      <c r="A170" s="7"/>
      <c r="B170" s="7" t="n">
        <v>2</v>
      </c>
      <c r="C170" s="7"/>
      <c r="D170" s="8" t="s">
        <v>47</v>
      </c>
      <c r="E170" s="7"/>
      <c r="F170" s="7"/>
      <c r="G170" s="9"/>
      <c r="H170" s="7"/>
      <c r="I170" s="7"/>
      <c r="J170" s="9" t="n">
        <f aca="false">J169/2</f>
        <v>44.4444444444444</v>
      </c>
    </row>
    <row r="171" customFormat="false" ht="15" hidden="false" customHeight="false" outlineLevel="0" collapsed="false">
      <c r="A171" s="7"/>
      <c r="B171" s="7" t="n">
        <v>3</v>
      </c>
      <c r="C171" s="7"/>
      <c r="D171" s="8" t="s">
        <v>16</v>
      </c>
      <c r="E171" s="7"/>
      <c r="F171" s="7"/>
      <c r="G171" s="9"/>
      <c r="H171" s="7"/>
      <c r="I171" s="7"/>
      <c r="J171" s="9" t="n">
        <f aca="false">SUM(J167/60)*12%</f>
        <v>32</v>
      </c>
    </row>
    <row r="172" customFormat="false" ht="15" hidden="false" customHeight="false" outlineLevel="0" collapsed="false">
      <c r="A172" s="7"/>
      <c r="B172" s="7" t="n">
        <v>4</v>
      </c>
      <c r="C172" s="7"/>
      <c r="D172" s="8" t="s">
        <v>18</v>
      </c>
      <c r="E172" s="7"/>
      <c r="F172" s="7"/>
      <c r="G172" s="9"/>
      <c r="H172" s="7"/>
      <c r="I172" s="7"/>
      <c r="J172" s="9" t="n">
        <f aca="false">ROUND(J171/12,2)</f>
        <v>2.67</v>
      </c>
    </row>
    <row r="173" customFormat="false" ht="15" hidden="false" customHeight="false" outlineLevel="0" collapsed="false">
      <c r="A173" s="7"/>
      <c r="B173" s="7" t="n">
        <v>5</v>
      </c>
      <c r="C173" s="7"/>
      <c r="D173" s="8" t="s">
        <v>19</v>
      </c>
      <c r="E173" s="7"/>
      <c r="F173" s="7"/>
      <c r="G173" s="9"/>
      <c r="H173" s="7"/>
      <c r="I173" s="7"/>
      <c r="J173" s="9" t="n">
        <f aca="false">J172*2</f>
        <v>5.34</v>
      </c>
    </row>
    <row r="174" customFormat="false" ht="15" hidden="false" customHeight="false" outlineLevel="0" collapsed="false">
      <c r="A174" s="7"/>
      <c r="B174" s="7" t="n">
        <v>6</v>
      </c>
      <c r="C174" s="7"/>
      <c r="D174" s="8" t="s">
        <v>20</v>
      </c>
      <c r="E174" s="7"/>
      <c r="F174" s="7"/>
      <c r="G174" s="9"/>
      <c r="H174" s="7"/>
      <c r="I174" s="7"/>
      <c r="J174" s="9"/>
    </row>
    <row r="175" customFormat="false" ht="15" hidden="false" customHeight="false" outlineLevel="0" collapsed="false">
      <c r="A175" s="7"/>
      <c r="B175" s="7" t="s">
        <v>21</v>
      </c>
      <c r="C175" s="7"/>
      <c r="D175" s="8" t="s">
        <v>22</v>
      </c>
      <c r="E175" s="7" t="n">
        <v>0.2</v>
      </c>
      <c r="F175" s="7" t="s">
        <v>12</v>
      </c>
      <c r="G175" s="9" t="n">
        <v>775</v>
      </c>
      <c r="H175" s="7" t="n">
        <v>1</v>
      </c>
      <c r="I175" s="7" t="s">
        <v>12</v>
      </c>
      <c r="J175" s="9" t="n">
        <f aca="false">G175*E175</f>
        <v>155</v>
      </c>
    </row>
    <row r="176" customFormat="false" ht="15" hidden="false" customHeight="false" outlineLevel="0" collapsed="false">
      <c r="A176" s="7"/>
      <c r="B176" s="7" t="s">
        <v>23</v>
      </c>
      <c r="C176" s="7"/>
      <c r="D176" s="8" t="s">
        <v>24</v>
      </c>
      <c r="E176" s="9" t="n">
        <v>0.25</v>
      </c>
      <c r="F176" s="7" t="s">
        <v>12</v>
      </c>
      <c r="G176" s="9" t="n">
        <v>650</v>
      </c>
      <c r="H176" s="7" t="n">
        <v>1</v>
      </c>
      <c r="I176" s="7" t="s">
        <v>12</v>
      </c>
      <c r="J176" s="9" t="n">
        <f aca="false">G176*E176</f>
        <v>162.5</v>
      </c>
    </row>
    <row r="177" customFormat="false" ht="15" hidden="false" customHeight="false" outlineLevel="0" collapsed="false">
      <c r="A177" s="7"/>
      <c r="B177" s="7"/>
      <c r="C177" s="7"/>
      <c r="D177" s="8" t="s">
        <v>25</v>
      </c>
      <c r="E177" s="7"/>
      <c r="F177" s="7"/>
      <c r="G177" s="9"/>
      <c r="H177" s="7"/>
      <c r="I177" s="7"/>
      <c r="J177" s="18" t="n">
        <f aca="false">SUM(J169:J176)</f>
        <v>490.843333333333</v>
      </c>
    </row>
    <row r="178" customFormat="false" ht="15" hidden="false" customHeight="true" outlineLevel="0" collapsed="false">
      <c r="A178" s="7"/>
      <c r="B178" s="7"/>
      <c r="C178" s="7" t="s">
        <v>17</v>
      </c>
      <c r="D178" s="8" t="s">
        <v>26</v>
      </c>
      <c r="E178" s="7"/>
      <c r="F178" s="7"/>
      <c r="G178" s="13" t="n">
        <f aca="false">J167*0.8</f>
        <v>12800</v>
      </c>
      <c r="H178" s="14" t="s">
        <v>27</v>
      </c>
      <c r="I178" s="14"/>
      <c r="J178" s="9"/>
    </row>
    <row r="179" customFormat="false" ht="24" hidden="false" customHeight="true" outlineLevel="0" collapsed="false">
      <c r="A179" s="7"/>
      <c r="B179" s="7"/>
      <c r="C179" s="7" t="n">
        <v>1</v>
      </c>
      <c r="D179" s="8" t="s">
        <v>28</v>
      </c>
      <c r="E179" s="7" t="s">
        <v>29</v>
      </c>
      <c r="F179" s="7"/>
      <c r="G179" s="7" t="n">
        <v>1</v>
      </c>
      <c r="H179" s="9" t="n">
        <f aca="false">$J$177*G179</f>
        <v>490.843333333333</v>
      </c>
      <c r="I179" s="9"/>
      <c r="J179" s="9" t="n">
        <f aca="false">ROUND(H179,0)</f>
        <v>491</v>
      </c>
    </row>
    <row r="180" customFormat="false" ht="21.6" hidden="false" customHeight="false" outlineLevel="0" collapsed="false">
      <c r="A180" s="7"/>
      <c r="B180" s="7"/>
      <c r="C180" s="7" t="n">
        <v>2</v>
      </c>
      <c r="D180" s="8" t="s">
        <v>30</v>
      </c>
      <c r="E180" s="7"/>
      <c r="F180" s="7"/>
      <c r="G180" s="7" t="n">
        <v>1.5</v>
      </c>
      <c r="H180" s="9" t="n">
        <f aca="false">$J$177*G180</f>
        <v>736.265</v>
      </c>
      <c r="I180" s="9"/>
      <c r="J180" s="9" t="n">
        <f aca="false">ROUND(H180,0)</f>
        <v>736</v>
      </c>
    </row>
    <row r="181" customFormat="false" ht="21.6" hidden="false" customHeight="false" outlineLevel="0" collapsed="false">
      <c r="A181" s="7"/>
      <c r="B181" s="7"/>
      <c r="C181" s="7" t="n">
        <v>3</v>
      </c>
      <c r="D181" s="8" t="s">
        <v>31</v>
      </c>
      <c r="E181" s="7"/>
      <c r="F181" s="7"/>
      <c r="G181" s="7" t="n">
        <v>2</v>
      </c>
      <c r="H181" s="9" t="n">
        <f aca="false">$J$177*G181</f>
        <v>981.686666666667</v>
      </c>
      <c r="I181" s="9"/>
      <c r="J181" s="9" t="n">
        <f aca="false">ROUND(H181,0)</f>
        <v>982</v>
      </c>
    </row>
    <row r="182" customFormat="false" ht="21.6" hidden="false" customHeight="false" outlineLevel="0" collapsed="false">
      <c r="A182" s="7"/>
      <c r="B182" s="7"/>
      <c r="C182" s="7" t="n">
        <v>4</v>
      </c>
      <c r="D182" s="8" t="s">
        <v>32</v>
      </c>
      <c r="E182" s="7"/>
      <c r="F182" s="7"/>
      <c r="G182" s="7" t="n">
        <v>2.25</v>
      </c>
      <c r="H182" s="9" t="n">
        <f aca="false">$J$177*G182</f>
        <v>1104.3975</v>
      </c>
      <c r="I182" s="9"/>
      <c r="J182" s="9" t="n">
        <f aca="false">ROUND(H182,0)</f>
        <v>1104</v>
      </c>
    </row>
    <row r="183" customFormat="false" ht="21.6" hidden="false" customHeight="false" outlineLevel="0" collapsed="false">
      <c r="A183" s="7"/>
      <c r="B183" s="7"/>
      <c r="C183" s="7" t="n">
        <v>5</v>
      </c>
      <c r="D183" s="8" t="s">
        <v>33</v>
      </c>
      <c r="E183" s="7"/>
      <c r="F183" s="7"/>
      <c r="G183" s="7" t="n">
        <v>2.5</v>
      </c>
      <c r="H183" s="9" t="n">
        <f aca="false">$J$177*G183</f>
        <v>1227.10833333333</v>
      </c>
      <c r="I183" s="9"/>
      <c r="J183" s="9" t="n">
        <f aca="false">ROUND(H183,0)</f>
        <v>1227</v>
      </c>
    </row>
    <row r="184" customFormat="false" ht="21.6" hidden="false" customHeight="false" outlineLevel="0" collapsed="false">
      <c r="A184" s="7"/>
      <c r="B184" s="7"/>
      <c r="C184" s="7" t="n">
        <v>6</v>
      </c>
      <c r="D184" s="8" t="s">
        <v>34</v>
      </c>
      <c r="E184" s="7"/>
      <c r="F184" s="7"/>
      <c r="G184" s="7" t="n">
        <v>2.75</v>
      </c>
      <c r="H184" s="9" t="n">
        <f aca="false">$J$177*G184</f>
        <v>1349.81916666667</v>
      </c>
      <c r="I184" s="9"/>
      <c r="J184" s="9" t="n">
        <f aca="false">ROUND(H184,0)</f>
        <v>1350</v>
      </c>
    </row>
    <row r="185" customFormat="false" ht="21.6" hidden="false" customHeight="false" outlineLevel="0" collapsed="false">
      <c r="A185" s="7"/>
      <c r="B185" s="7"/>
      <c r="C185" s="7" t="n">
        <v>7</v>
      </c>
      <c r="D185" s="8" t="s">
        <v>35</v>
      </c>
      <c r="E185" s="7"/>
      <c r="F185" s="7"/>
      <c r="G185" s="7" t="n">
        <v>3</v>
      </c>
      <c r="H185" s="9" t="n">
        <f aca="false">$J$177*G185</f>
        <v>1472.53</v>
      </c>
      <c r="I185" s="9"/>
      <c r="J185" s="9" t="n">
        <f aca="false">ROUND(H185,0)</f>
        <v>1473</v>
      </c>
    </row>
    <row r="186" customFormat="false" ht="21.6" hidden="false" customHeight="false" outlineLevel="0" collapsed="false">
      <c r="A186" s="7"/>
      <c r="B186" s="7"/>
      <c r="C186" s="7" t="n">
        <v>8</v>
      </c>
      <c r="D186" s="8" t="s">
        <v>36</v>
      </c>
      <c r="E186" s="7"/>
      <c r="F186" s="7"/>
      <c r="G186" s="7" t="n">
        <v>3.25</v>
      </c>
      <c r="H186" s="9" t="n">
        <f aca="false">$J$177*G186</f>
        <v>1595.24083333333</v>
      </c>
      <c r="I186" s="9"/>
      <c r="J186" s="9" t="n">
        <f aca="false">ROUND(H186,0)</f>
        <v>1595</v>
      </c>
    </row>
    <row r="187" customFormat="false" ht="21.6" hidden="false" customHeight="false" outlineLevel="0" collapsed="false">
      <c r="A187" s="7"/>
      <c r="B187" s="7"/>
      <c r="C187" s="7" t="n">
        <v>9</v>
      </c>
      <c r="D187" s="8" t="s">
        <v>36</v>
      </c>
      <c r="E187" s="7"/>
      <c r="F187" s="7"/>
      <c r="G187" s="7" t="n">
        <v>3.5</v>
      </c>
      <c r="H187" s="9" t="n">
        <f aca="false">$J$177*G187</f>
        <v>1717.95166666667</v>
      </c>
      <c r="I187" s="9"/>
      <c r="J187" s="9" t="n">
        <f aca="false">ROUND(H187,0)</f>
        <v>1718</v>
      </c>
    </row>
    <row r="188" customFormat="false" ht="21.6" hidden="false" customHeight="false" outlineLevel="0" collapsed="false">
      <c r="A188" s="7"/>
      <c r="B188" s="7"/>
      <c r="C188" s="7" t="n">
        <v>10</v>
      </c>
      <c r="D188" s="8" t="s">
        <v>37</v>
      </c>
      <c r="E188" s="7"/>
      <c r="F188" s="7"/>
      <c r="G188" s="7" t="n">
        <v>3.75</v>
      </c>
      <c r="H188" s="9" t="n">
        <f aca="false">$J$177*G188</f>
        <v>1840.6625</v>
      </c>
      <c r="I188" s="9"/>
      <c r="J188" s="9" t="n">
        <f aca="false">ROUND(H188,0)</f>
        <v>1841</v>
      </c>
    </row>
    <row r="189" customFormat="false" ht="21.6" hidden="false" customHeight="false" outlineLevel="0" collapsed="false">
      <c r="A189" s="7"/>
      <c r="B189" s="7"/>
      <c r="C189" s="7" t="n">
        <v>11</v>
      </c>
      <c r="D189" s="8" t="s">
        <v>38</v>
      </c>
      <c r="E189" s="7"/>
      <c r="F189" s="7"/>
      <c r="G189" s="7" t="n">
        <v>4</v>
      </c>
      <c r="H189" s="9" t="n">
        <f aca="false">$J$177*G189</f>
        <v>1963.37333333333</v>
      </c>
      <c r="I189" s="9"/>
      <c r="J189" s="9" t="n">
        <f aca="false">ROUND(H189,0)</f>
        <v>1963</v>
      </c>
    </row>
    <row r="190" customFormat="false" ht="21.6" hidden="false" customHeight="false" outlineLevel="0" collapsed="false">
      <c r="A190" s="7"/>
      <c r="B190" s="7"/>
      <c r="C190" s="7" t="n">
        <v>12</v>
      </c>
      <c r="D190" s="8" t="s">
        <v>39</v>
      </c>
      <c r="E190" s="7"/>
      <c r="F190" s="7"/>
      <c r="G190" s="7" t="n">
        <v>4.25</v>
      </c>
      <c r="H190" s="9" t="n">
        <f aca="false">$J$177*G190</f>
        <v>2086.08416666667</v>
      </c>
      <c r="I190" s="9"/>
      <c r="J190" s="9" t="n">
        <f aca="false">ROUND(H190,0)</f>
        <v>2086</v>
      </c>
    </row>
    <row r="191" customFormat="false" ht="21.6" hidden="false" customHeight="false" outlineLevel="0" collapsed="false">
      <c r="A191" s="7"/>
      <c r="B191" s="7"/>
      <c r="C191" s="7" t="n">
        <v>13</v>
      </c>
      <c r="D191" s="8" t="s">
        <v>40</v>
      </c>
      <c r="E191" s="7"/>
      <c r="F191" s="7"/>
      <c r="G191" s="7" t="n">
        <v>4.5</v>
      </c>
      <c r="H191" s="9" t="n">
        <f aca="false">$J$177*G191</f>
        <v>2208.795</v>
      </c>
      <c r="I191" s="9"/>
      <c r="J191" s="9" t="n">
        <f aca="false">ROUND(H191,0)</f>
        <v>2209</v>
      </c>
    </row>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18">
    <mergeCell ref="A1:J1"/>
    <mergeCell ref="A2:J2"/>
    <mergeCell ref="E19:F19"/>
    <mergeCell ref="H19:I19"/>
    <mergeCell ref="E20:F20"/>
    <mergeCell ref="H20:I20"/>
    <mergeCell ref="H21:I21"/>
    <mergeCell ref="H22:I22"/>
    <mergeCell ref="H23:I23"/>
    <mergeCell ref="H24:I24"/>
    <mergeCell ref="H25:I25"/>
    <mergeCell ref="H26:I26"/>
    <mergeCell ref="H27:I27"/>
    <mergeCell ref="H28:I28"/>
    <mergeCell ref="H29:I29"/>
    <mergeCell ref="H30:I30"/>
    <mergeCell ref="H31:I31"/>
    <mergeCell ref="H32:I32"/>
    <mergeCell ref="A33:J33"/>
    <mergeCell ref="E49:F49"/>
    <mergeCell ref="H49:I49"/>
    <mergeCell ref="E50:F50"/>
    <mergeCell ref="H50:I50"/>
    <mergeCell ref="H51:I51"/>
    <mergeCell ref="H52:I52"/>
    <mergeCell ref="H53:I53"/>
    <mergeCell ref="H54:I54"/>
    <mergeCell ref="H55:I55"/>
    <mergeCell ref="H56:I56"/>
    <mergeCell ref="H57:I57"/>
    <mergeCell ref="H58:I58"/>
    <mergeCell ref="H59:I59"/>
    <mergeCell ref="H60:I60"/>
    <mergeCell ref="H61:I61"/>
    <mergeCell ref="H62:I62"/>
    <mergeCell ref="A63:J63"/>
    <mergeCell ref="E79:F79"/>
    <mergeCell ref="H79:I79"/>
    <mergeCell ref="E80:F80"/>
    <mergeCell ref="H80:I80"/>
    <mergeCell ref="H81:I81"/>
    <mergeCell ref="H82:I82"/>
    <mergeCell ref="H83:I83"/>
    <mergeCell ref="H84:I84"/>
    <mergeCell ref="H85:I85"/>
    <mergeCell ref="H86:I86"/>
    <mergeCell ref="H87:I87"/>
    <mergeCell ref="H88:I88"/>
    <mergeCell ref="H89:I89"/>
    <mergeCell ref="H90:I90"/>
    <mergeCell ref="H91:I91"/>
    <mergeCell ref="H92:I92"/>
    <mergeCell ref="A93:J93"/>
    <mergeCell ref="E109:F109"/>
    <mergeCell ref="H109:I109"/>
    <mergeCell ref="E110:F110"/>
    <mergeCell ref="H110:I110"/>
    <mergeCell ref="H111:I111"/>
    <mergeCell ref="H112:I112"/>
    <mergeCell ref="H113:I113"/>
    <mergeCell ref="H114:I114"/>
    <mergeCell ref="H115:I115"/>
    <mergeCell ref="H116:I116"/>
    <mergeCell ref="H117:I117"/>
    <mergeCell ref="H118:I118"/>
    <mergeCell ref="H119:I119"/>
    <mergeCell ref="H120:I120"/>
    <mergeCell ref="H121:I121"/>
    <mergeCell ref="H122:I122"/>
    <mergeCell ref="A123:J123"/>
    <mergeCell ref="E130:F130"/>
    <mergeCell ref="H130:I130"/>
    <mergeCell ref="E131:F131"/>
    <mergeCell ref="H131:I131"/>
    <mergeCell ref="H132:I132"/>
    <mergeCell ref="H133:I133"/>
    <mergeCell ref="H134:I134"/>
    <mergeCell ref="H135:I135"/>
    <mergeCell ref="H136:I136"/>
    <mergeCell ref="H137:I137"/>
    <mergeCell ref="H138:I138"/>
    <mergeCell ref="H139:I139"/>
    <mergeCell ref="H140:I140"/>
    <mergeCell ref="H141:I141"/>
    <mergeCell ref="H142:I142"/>
    <mergeCell ref="H143:I143"/>
    <mergeCell ref="A144:J144"/>
    <mergeCell ref="E149:F149"/>
    <mergeCell ref="H149:I149"/>
    <mergeCell ref="H150:I150"/>
    <mergeCell ref="H151:I151"/>
    <mergeCell ref="H152:I152"/>
    <mergeCell ref="H153:I153"/>
    <mergeCell ref="H154:I154"/>
    <mergeCell ref="H155:I155"/>
    <mergeCell ref="H156:I156"/>
    <mergeCell ref="H157:I157"/>
    <mergeCell ref="H158:I158"/>
    <mergeCell ref="H159:I159"/>
    <mergeCell ref="H160:I160"/>
    <mergeCell ref="H161:I161"/>
    <mergeCell ref="A162:J162"/>
    <mergeCell ref="E178:F178"/>
    <mergeCell ref="H178:I178"/>
    <mergeCell ref="E179:F179"/>
    <mergeCell ref="H179:I179"/>
    <mergeCell ref="H180:I180"/>
    <mergeCell ref="H181:I181"/>
    <mergeCell ref="H182:I182"/>
    <mergeCell ref="H183:I183"/>
    <mergeCell ref="H184:I184"/>
    <mergeCell ref="H185:I185"/>
    <mergeCell ref="H186:I186"/>
    <mergeCell ref="H187:I187"/>
    <mergeCell ref="H188:I188"/>
    <mergeCell ref="H189:I189"/>
    <mergeCell ref="H190:I190"/>
    <mergeCell ref="H191:I191"/>
  </mergeCells>
  <printOptions headings="false" gridLines="false" gridLinesSet="true" horizontalCentered="false" verticalCentered="false"/>
  <pageMargins left="0.7" right="0.7" top="0.75" bottom="0.75" header="0.511805555555555" footer="0.511805555555555"/>
  <pageSetup paperSize="9" scale="100" firstPageNumber="0" fitToWidth="1" fitToHeight="0"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1" activeCellId="1" sqref="C178:C191 E11"/>
    </sheetView>
  </sheetViews>
  <sheetFormatPr defaultRowHeight="15" zeroHeight="false" outlineLevelRow="0" outlineLevelCol="0"/>
  <cols>
    <col collapsed="false" customWidth="true" hidden="false" outlineLevel="0" max="1" min="1" style="0" width="55.02"/>
    <col collapsed="false" customWidth="true" hidden="false" outlineLevel="0" max="2" min="2" style="0" width="14.4"/>
    <col collapsed="false" customWidth="true" hidden="false" outlineLevel="0" max="1025" min="3" style="0" width="8.54"/>
  </cols>
  <sheetData>
    <row r="1" customFormat="false" ht="15" hidden="false" customHeight="false" outlineLevel="0" collapsed="false">
      <c r="A1" s="0" t="s">
        <v>82</v>
      </c>
      <c r="B1" s="0" t="s">
        <v>83</v>
      </c>
    </row>
    <row r="2" customFormat="false" ht="13.8" hidden="false" customHeight="false" outlineLevel="0" collapsed="false">
      <c r="A2" s="28" t="s">
        <v>1</v>
      </c>
      <c r="B2" s="0" t="s">
        <v>84</v>
      </c>
    </row>
    <row r="3" customFormat="false" ht="13.8" hidden="false" customHeight="false" outlineLevel="0" collapsed="false">
      <c r="A3" s="29" t="s">
        <v>41</v>
      </c>
      <c r="B3" s="0" t="s">
        <v>84</v>
      </c>
    </row>
    <row r="4" customFormat="false" ht="13.8" hidden="false" customHeight="false" outlineLevel="0" collapsed="false">
      <c r="A4" s="28" t="s">
        <v>57</v>
      </c>
      <c r="B4" s="0" t="s">
        <v>85</v>
      </c>
    </row>
    <row r="5" customFormat="false" ht="13.8" hidden="false" customHeight="false" outlineLevel="0" collapsed="false">
      <c r="A5" s="28" t="s">
        <v>64</v>
      </c>
      <c r="B5" s="0" t="s">
        <v>85</v>
      </c>
    </row>
    <row r="6" customFormat="false" ht="13.8" hidden="false" customHeight="false" outlineLevel="0" collapsed="false">
      <c r="A6" s="28" t="s">
        <v>69</v>
      </c>
      <c r="B6" s="0" t="s">
        <v>86</v>
      </c>
    </row>
    <row r="7" customFormat="false" ht="13.8" hidden="false" customHeight="false" outlineLevel="0" collapsed="false">
      <c r="A7" s="28" t="s">
        <v>74</v>
      </c>
      <c r="B7" s="0" t="s">
        <v>86</v>
      </c>
    </row>
    <row r="8" customFormat="false" ht="13.8" hidden="false" customHeight="false" outlineLevel="0" collapsed="false">
      <c r="A8" s="28" t="s">
        <v>78</v>
      </c>
      <c r="B8" s="0" t="s">
        <v>85</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Trio_Office/6.2.8.2$Windows_x86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HP</dc:creator>
  <dc:description/>
  <dc:language>en-IN</dc:language>
  <cp:lastModifiedBy/>
  <dcterms:modified xsi:type="dcterms:W3CDTF">2025-12-12T00:44:52Z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