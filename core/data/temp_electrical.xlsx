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C:\Users\HP\Desktop\"/>
    </mc:Choice>
  </mc:AlternateContent>
  <xr:revisionPtr revIDLastSave="0" documentId="13_ncr:1_{0D815370-1125-4D25-A391-140A0ACE8A3A}" xr6:coauthVersionLast="36" xr6:coauthVersionMax="36" xr10:uidLastSave="{00000000-0000-0000-0000-000000000000}"/>
  <bookViews>
    <workbookView xWindow="0" yWindow="0" windowWidth="22260" windowHeight="12645" activeTab="1" xr2:uid="{00000000-000D-0000-FFFF-FFFF00000000}"/>
  </bookViews>
  <sheets>
    <sheet name="Master Datas" sheetId="1" r:id="rId1"/>
    <sheet name="Groups"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47" i="1" l="1"/>
  <c r="J148" i="1" s="1"/>
  <c r="J149" i="1" s="1"/>
  <c r="J146" i="1"/>
  <c r="J145" i="1"/>
  <c r="J144" i="1"/>
  <c r="J143" i="1"/>
  <c r="J142" i="1"/>
  <c r="J141" i="1"/>
  <c r="J135" i="1"/>
  <c r="J134" i="1"/>
  <c r="J133" i="1"/>
  <c r="J136" i="1" s="1"/>
  <c r="J137" i="1" s="1"/>
  <c r="J95" i="1"/>
  <c r="J94" i="1"/>
  <c r="J93" i="1"/>
  <c r="J92" i="1"/>
  <c r="J91" i="1"/>
  <c r="J90" i="1"/>
  <c r="J89" i="1"/>
  <c r="J83" i="1"/>
  <c r="J82" i="1"/>
  <c r="J81" i="1"/>
  <c r="J138" i="1" l="1"/>
  <c r="J139" i="1" s="1"/>
  <c r="J150" i="1" s="1"/>
  <c r="J84" i="1"/>
  <c r="J85" i="1" s="1"/>
  <c r="J96" i="1"/>
  <c r="J97" i="1" s="1"/>
  <c r="J86" i="1"/>
  <c r="J87" i="1" s="1"/>
  <c r="J98" i="1" s="1"/>
  <c r="J1298" i="1"/>
  <c r="J1297" i="1"/>
  <c r="J1295" i="1"/>
  <c r="J1294" i="1"/>
  <c r="J1293" i="1"/>
  <c r="J1292" i="1"/>
  <c r="J1291" i="1"/>
  <c r="J1290" i="1"/>
  <c r="J1289" i="1"/>
  <c r="J1288" i="1"/>
  <c r="J1287" i="1"/>
  <c r="J1276" i="1"/>
  <c r="J1275" i="1"/>
  <c r="J1273" i="1"/>
  <c r="J1272" i="1"/>
  <c r="J1270" i="1"/>
  <c r="J1269" i="1"/>
  <c r="J1268" i="1"/>
  <c r="J1266" i="1"/>
  <c r="J1265" i="1"/>
  <c r="J1264" i="1"/>
  <c r="J1263" i="1"/>
  <c r="J1262" i="1"/>
  <c r="J1261" i="1"/>
  <c r="J1260" i="1"/>
  <c r="J1259" i="1"/>
  <c r="J1258" i="1"/>
  <c r="J1247" i="1"/>
  <c r="D1247" i="1"/>
  <c r="J1246" i="1"/>
  <c r="J1245" i="1"/>
  <c r="J1239" i="1"/>
  <c r="J1238" i="1"/>
  <c r="J1237" i="1"/>
  <c r="J1213" i="1"/>
  <c r="J1212" i="1"/>
  <c r="J1214" i="1" s="1"/>
  <c r="J1215" i="1" s="1"/>
  <c r="J1207" i="1"/>
  <c r="J1208" i="1" s="1"/>
  <c r="J1209" i="1" s="1"/>
  <c r="J1206" i="1"/>
  <c r="J1196" i="1"/>
  <c r="J1197" i="1" s="1"/>
  <c r="J1190" i="1"/>
  <c r="J1189" i="1"/>
  <c r="I1179" i="1"/>
  <c r="J1179" i="1" s="1"/>
  <c r="J1180" i="1" s="1"/>
  <c r="J1173" i="1"/>
  <c r="J1172" i="1"/>
  <c r="J1161" i="1"/>
  <c r="J1162" i="1" s="1"/>
  <c r="J1163" i="1" s="1"/>
  <c r="J1155" i="1"/>
  <c r="J1154" i="1"/>
  <c r="J1153" i="1"/>
  <c r="J1142" i="1"/>
  <c r="J1143" i="1" s="1"/>
  <c r="J1139" i="1"/>
  <c r="J1140" i="1" s="1"/>
  <c r="J1135" i="1"/>
  <c r="J1134" i="1"/>
  <c r="J1136" i="1" s="1"/>
  <c r="J1123" i="1"/>
  <c r="J1124" i="1" s="1"/>
  <c r="J1120" i="1"/>
  <c r="J1121" i="1" s="1"/>
  <c r="J1116" i="1"/>
  <c r="J1115" i="1"/>
  <c r="J1117" i="1" s="1"/>
  <c r="J1104" i="1"/>
  <c r="J1103" i="1"/>
  <c r="J1102" i="1"/>
  <c r="J1101" i="1"/>
  <c r="J1100" i="1"/>
  <c r="J1098" i="1"/>
  <c r="J1086" i="1"/>
  <c r="J1090" i="1" s="1"/>
  <c r="J1079" i="1"/>
  <c r="J1080" i="1" s="1"/>
  <c r="J1081" i="1" s="1"/>
  <c r="J1071" i="1"/>
  <c r="J1072" i="1" s="1"/>
  <c r="J1064" i="1"/>
  <c r="J1055" i="1"/>
  <c r="J1054" i="1"/>
  <c r="J1052" i="1"/>
  <c r="J1056" i="1" s="1"/>
  <c r="J1047" i="1"/>
  <c r="J1046" i="1"/>
  <c r="J1038" i="1"/>
  <c r="J1032" i="1"/>
  <c r="J1033" i="1" s="1"/>
  <c r="J1026" i="1"/>
  <c r="J1027" i="1" s="1"/>
  <c r="J1017" i="1"/>
  <c r="J1015" i="1"/>
  <c r="J1016" i="1" s="1"/>
  <c r="J1006" i="1"/>
  <c r="J1007" i="1" s="1"/>
  <c r="J997" i="1"/>
  <c r="J998" i="1" s="1"/>
  <c r="J990" i="1"/>
  <c r="J991" i="1" s="1"/>
  <c r="J992" i="1" s="1"/>
  <c r="J981" i="1"/>
  <c r="J982" i="1" s="1"/>
  <c r="J983" i="1" s="1"/>
  <c r="J971" i="1"/>
  <c r="J972" i="1" s="1"/>
  <c r="J965" i="1"/>
  <c r="J964" i="1"/>
  <c r="J955" i="1"/>
  <c r="J956" i="1" s="1"/>
  <c r="J957" i="1" s="1"/>
  <c r="J946" i="1"/>
  <c r="J945" i="1"/>
  <c r="J944" i="1"/>
  <c r="J947" i="1" s="1"/>
  <c r="J948" i="1" s="1"/>
  <c r="J949" i="1" s="1"/>
  <c r="J950" i="1" s="1"/>
  <c r="J935" i="1"/>
  <c r="J934" i="1"/>
  <c r="J933" i="1"/>
  <c r="J924" i="1"/>
  <c r="J925" i="1" s="1"/>
  <c r="J926" i="1" s="1"/>
  <c r="J927" i="1" s="1"/>
  <c r="J928" i="1" s="1"/>
  <c r="J914" i="1"/>
  <c r="J913" i="1"/>
  <c r="J911" i="1"/>
  <c r="J906" i="1"/>
  <c r="J905" i="1"/>
  <c r="J895" i="1"/>
  <c r="J894" i="1"/>
  <c r="J892" i="1"/>
  <c r="J887" i="1"/>
  <c r="J886" i="1"/>
  <c r="J888" i="1" s="1"/>
  <c r="J877" i="1"/>
  <c r="J875" i="1"/>
  <c r="J876" i="1" s="1"/>
  <c r="J869" i="1"/>
  <c r="J868" i="1"/>
  <c r="J867" i="1"/>
  <c r="J858" i="1"/>
  <c r="J859" i="1" s="1"/>
  <c r="J860" i="1" s="1"/>
  <c r="J861" i="1" s="1"/>
  <c r="J862" i="1" s="1"/>
  <c r="J849" i="1"/>
  <c r="J850" i="1" s="1"/>
  <c r="J851" i="1" s="1"/>
  <c r="J852" i="1" s="1"/>
  <c r="J853" i="1" s="1"/>
  <c r="J840" i="1"/>
  <c r="J841" i="1" s="1"/>
  <c r="J842" i="1" s="1"/>
  <c r="J843" i="1" s="1"/>
  <c r="J844" i="1" s="1"/>
  <c r="J829" i="1"/>
  <c r="J830" i="1" s="1"/>
  <c r="J831" i="1" s="1"/>
  <c r="J832" i="1" s="1"/>
  <c r="J833" i="1" s="1"/>
  <c r="J834" i="1" s="1"/>
  <c r="J818" i="1"/>
  <c r="J819" i="1" s="1"/>
  <c r="J820" i="1" s="1"/>
  <c r="J821" i="1" s="1"/>
  <c r="J822" i="1" s="1"/>
  <c r="J817" i="1"/>
  <c r="J807" i="1"/>
  <c r="J806" i="1"/>
  <c r="J805" i="1"/>
  <c r="J804" i="1"/>
  <c r="J799" i="1"/>
  <c r="J798" i="1"/>
  <c r="J797" i="1"/>
  <c r="J800" i="1" s="1"/>
  <c r="J801" i="1" s="1"/>
  <c r="J796" i="1"/>
  <c r="J787" i="1"/>
  <c r="J785" i="1"/>
  <c r="J786" i="1" s="1"/>
  <c r="J775" i="1"/>
  <c r="J774" i="1"/>
  <c r="J773" i="1"/>
  <c r="J772" i="1"/>
  <c r="J767" i="1"/>
  <c r="J766" i="1"/>
  <c r="J765" i="1"/>
  <c r="J764" i="1"/>
  <c r="J753" i="1"/>
  <c r="J752" i="1"/>
  <c r="J746" i="1"/>
  <c r="J745" i="1"/>
  <c r="J737" i="1"/>
  <c r="J738" i="1" s="1"/>
  <c r="J739" i="1" s="1"/>
  <c r="J740" i="1" s="1"/>
  <c r="J736" i="1"/>
  <c r="J727" i="1"/>
  <c r="J728" i="1" s="1"/>
  <c r="J729" i="1" s="1"/>
  <c r="J730" i="1" s="1"/>
  <c r="J731" i="1" s="1"/>
  <c r="J716" i="1"/>
  <c r="J714" i="1"/>
  <c r="J717" i="1" s="1"/>
  <c r="J718" i="1" s="1"/>
  <c r="J708" i="1"/>
  <c r="J707" i="1"/>
  <c r="J706" i="1"/>
  <c r="J695" i="1"/>
  <c r="J694" i="1"/>
  <c r="J689" i="1"/>
  <c r="J690" i="1" s="1"/>
  <c r="J691" i="1" s="1"/>
  <c r="J688" i="1"/>
  <c r="J687" i="1"/>
  <c r="J679" i="1"/>
  <c r="J680" i="1" s="1"/>
  <c r="J681" i="1" s="1"/>
  <c r="J682" i="1" s="1"/>
  <c r="J670" i="1"/>
  <c r="J668" i="1"/>
  <c r="J669" i="1" s="1"/>
  <c r="J658" i="1"/>
  <c r="J657" i="1"/>
  <c r="J651" i="1"/>
  <c r="J650" i="1"/>
  <c r="J649" i="1"/>
  <c r="J638" i="1"/>
  <c r="J633" i="1"/>
  <c r="J632" i="1"/>
  <c r="J631" i="1"/>
  <c r="J619" i="1"/>
  <c r="J621" i="1" s="1"/>
  <c r="J622" i="1" s="1"/>
  <c r="J615" i="1"/>
  <c r="J614" i="1"/>
  <c r="J616" i="1" s="1"/>
  <c r="J617" i="1" s="1"/>
  <c r="J605" i="1"/>
  <c r="J606" i="1" s="1"/>
  <c r="J596" i="1"/>
  <c r="J597" i="1" s="1"/>
  <c r="J587" i="1"/>
  <c r="J588" i="1" s="1"/>
  <c r="J589" i="1" s="1"/>
  <c r="J576" i="1"/>
  <c r="J575" i="1"/>
  <c r="J577" i="1" s="1"/>
  <c r="J578" i="1" s="1"/>
  <c r="J568" i="1"/>
  <c r="J569" i="1" s="1"/>
  <c r="J570" i="1" s="1"/>
  <c r="J571" i="1" s="1"/>
  <c r="J559" i="1"/>
  <c r="J560" i="1" s="1"/>
  <c r="J549" i="1"/>
  <c r="J550" i="1" s="1"/>
  <c r="J551" i="1" s="1"/>
  <c r="J543" i="1"/>
  <c r="J542" i="1"/>
  <c r="J541" i="1"/>
  <c r="J532" i="1"/>
  <c r="J533" i="1" s="1"/>
  <c r="J534" i="1" s="1"/>
  <c r="J522" i="1"/>
  <c r="J521" i="1"/>
  <c r="J520" i="1"/>
  <c r="J519" i="1"/>
  <c r="J514" i="1"/>
  <c r="J513" i="1"/>
  <c r="J512" i="1"/>
  <c r="J511" i="1"/>
  <c r="J501" i="1"/>
  <c r="J500" i="1"/>
  <c r="J499" i="1"/>
  <c r="J498" i="1"/>
  <c r="J493" i="1"/>
  <c r="J492" i="1"/>
  <c r="J491" i="1"/>
  <c r="J490" i="1"/>
  <c r="J481" i="1"/>
  <c r="J482" i="1" s="1"/>
  <c r="J469" i="1"/>
  <c r="J470" i="1" s="1"/>
  <c r="J471" i="1" s="1"/>
  <c r="J463" i="1"/>
  <c r="J462" i="1"/>
  <c r="J464" i="1" s="1"/>
  <c r="J465" i="1" s="1"/>
  <c r="J461" i="1"/>
  <c r="J448" i="1"/>
  <c r="J449" i="1" s="1"/>
  <c r="J450" i="1" s="1"/>
  <c r="J442" i="1"/>
  <c r="J441" i="1"/>
  <c r="J440" i="1"/>
  <c r="J427" i="1"/>
  <c r="J428" i="1" s="1"/>
  <c r="J429" i="1" s="1"/>
  <c r="J421" i="1"/>
  <c r="J420" i="1"/>
  <c r="J419" i="1"/>
  <c r="J408" i="1"/>
  <c r="J409" i="1" s="1"/>
  <c r="J405" i="1"/>
  <c r="J406" i="1" s="1"/>
  <c r="J401" i="1"/>
  <c r="J400" i="1"/>
  <c r="J402" i="1" s="1"/>
  <c r="I390" i="1"/>
  <c r="J390" i="1" s="1"/>
  <c r="J391" i="1" s="1"/>
  <c r="J386" i="1"/>
  <c r="J387" i="1" s="1"/>
  <c r="J377" i="1"/>
  <c r="J378" i="1" s="1"/>
  <c r="J372" i="1"/>
  <c r="J371" i="1"/>
  <c r="J361" i="1"/>
  <c r="J362" i="1" s="1"/>
  <c r="J356" i="1"/>
  <c r="J357" i="1" s="1"/>
  <c r="J358" i="1" s="1"/>
  <c r="J345" i="1"/>
  <c r="J346" i="1" s="1"/>
  <c r="J344" i="1"/>
  <c r="J347" i="1" s="1"/>
  <c r="J339" i="1"/>
  <c r="J338" i="1"/>
  <c r="J337" i="1"/>
  <c r="I326" i="1"/>
  <c r="J326" i="1" s="1"/>
  <c r="J328" i="1" s="1"/>
  <c r="J323" i="1"/>
  <c r="J324" i="1" s="1"/>
  <c r="I311" i="1"/>
  <c r="J311" i="1" s="1"/>
  <c r="J313" i="1" s="1"/>
  <c r="J308" i="1"/>
  <c r="J309" i="1" s="1"/>
  <c r="I297" i="1"/>
  <c r="J297" i="1" s="1"/>
  <c r="J298" i="1" s="1"/>
  <c r="J299" i="1" s="1"/>
  <c r="J293" i="1"/>
  <c r="J294" i="1" s="1"/>
  <c r="J282" i="1"/>
  <c r="J283" i="1" s="1"/>
  <c r="J277" i="1"/>
  <c r="J276" i="1"/>
  <c r="J265" i="1"/>
  <c r="J264" i="1"/>
  <c r="J263" i="1"/>
  <c r="J262" i="1"/>
  <c r="J257" i="1"/>
  <c r="J256" i="1"/>
  <c r="J258" i="1" s="1"/>
  <c r="J246" i="1"/>
  <c r="J245" i="1"/>
  <c r="J244" i="1"/>
  <c r="J243" i="1"/>
  <c r="J238" i="1"/>
  <c r="J237" i="1"/>
  <c r="J227" i="1"/>
  <c r="J226" i="1"/>
  <c r="J225" i="1"/>
  <c r="J224" i="1"/>
  <c r="E219" i="1"/>
  <c r="J219" i="1" s="1"/>
  <c r="E218" i="1"/>
  <c r="J218" i="1" s="1"/>
  <c r="J208" i="1"/>
  <c r="J207" i="1"/>
  <c r="J209" i="1" s="1"/>
  <c r="J206" i="1"/>
  <c r="J205" i="1"/>
  <c r="J200" i="1"/>
  <c r="J199" i="1"/>
  <c r="J198" i="1"/>
  <c r="J188" i="1"/>
  <c r="J187" i="1"/>
  <c r="J186" i="1"/>
  <c r="J185" i="1"/>
  <c r="J180" i="1"/>
  <c r="J179" i="1"/>
  <c r="J178" i="1"/>
  <c r="J168" i="1"/>
  <c r="J167" i="1"/>
  <c r="J166" i="1"/>
  <c r="J165" i="1"/>
  <c r="J160" i="1"/>
  <c r="J159" i="1"/>
  <c r="J121" i="1"/>
  <c r="J120" i="1"/>
  <c r="J119" i="1"/>
  <c r="J118" i="1"/>
  <c r="J117" i="1"/>
  <c r="J116" i="1"/>
  <c r="J115" i="1"/>
  <c r="J109" i="1"/>
  <c r="J108" i="1"/>
  <c r="J107" i="1"/>
  <c r="J69" i="1"/>
  <c r="J68" i="1"/>
  <c r="J67" i="1"/>
  <c r="J66" i="1"/>
  <c r="J65" i="1"/>
  <c r="J64" i="1"/>
  <c r="J63" i="1"/>
  <c r="J57" i="1"/>
  <c r="J56" i="1"/>
  <c r="J55" i="1"/>
  <c r="J44" i="1"/>
  <c r="J43" i="1"/>
  <c r="J42" i="1"/>
  <c r="J41" i="1"/>
  <c r="J40" i="1"/>
  <c r="J39" i="1"/>
  <c r="J38" i="1"/>
  <c r="J32" i="1"/>
  <c r="J31" i="1"/>
  <c r="J30" i="1"/>
  <c r="J18" i="1"/>
  <c r="J17" i="1"/>
  <c r="J16" i="1"/>
  <c r="J15" i="1"/>
  <c r="J14" i="1"/>
  <c r="J8" i="1"/>
  <c r="J7" i="1"/>
  <c r="J6" i="1"/>
  <c r="J5" i="1"/>
  <c r="J151" i="1" l="1"/>
  <c r="J152" i="1" s="1"/>
  <c r="J153" i="1" s="1"/>
  <c r="J154" i="1" s="1"/>
  <c r="J189" i="1"/>
  <c r="J190" i="1" s="1"/>
  <c r="J623" i="1"/>
  <c r="J1191" i="1"/>
  <c r="J1192" i="1" s="1"/>
  <c r="J1193" i="1" s="1"/>
  <c r="J1240" i="1"/>
  <c r="J1241" i="1" s="1"/>
  <c r="J1242" i="1" s="1"/>
  <c r="J768" i="1"/>
  <c r="J769" i="1" s="1"/>
  <c r="J770" i="1" s="1"/>
  <c r="J777" i="1" s="1"/>
  <c r="J1048" i="1"/>
  <c r="J110" i="1"/>
  <c r="J111" i="1" s="1"/>
  <c r="J359" i="1"/>
  <c r="J363" i="1" s="1"/>
  <c r="J494" i="1"/>
  <c r="J515" i="1"/>
  <c r="J659" i="1"/>
  <c r="J696" i="1"/>
  <c r="J697" i="1" s="1"/>
  <c r="J896" i="1"/>
  <c r="J1105" i="1"/>
  <c r="I1106" i="1" s="1"/>
  <c r="J45" i="1"/>
  <c r="J46" i="1" s="1"/>
  <c r="J228" i="1"/>
  <c r="J544" i="1"/>
  <c r="J545" i="1" s="1"/>
  <c r="J546" i="1" s="1"/>
  <c r="J709" i="1"/>
  <c r="J710" i="1" s="1"/>
  <c r="J9" i="1"/>
  <c r="J10" i="1" s="1"/>
  <c r="J99" i="1"/>
  <c r="J100" i="1" s="1"/>
  <c r="J101" i="1" s="1"/>
  <c r="J102" i="1" s="1"/>
  <c r="J410" i="1"/>
  <c r="J443" i="1"/>
  <c r="J444" i="1" s="1"/>
  <c r="J445" i="1" s="1"/>
  <c r="J446" i="1" s="1"/>
  <c r="J451" i="1" s="1"/>
  <c r="J1216" i="1"/>
  <c r="J1217" i="1" s="1"/>
  <c r="J1299" i="1"/>
  <c r="J1302" i="1" s="1"/>
  <c r="J33" i="1"/>
  <c r="J34" i="1" s="1"/>
  <c r="J181" i="1"/>
  <c r="J182" i="1" s="1"/>
  <c r="J220" i="1"/>
  <c r="J239" i="1"/>
  <c r="J266" i="1"/>
  <c r="J422" i="1"/>
  <c r="J423" i="1" s="1"/>
  <c r="J424" i="1" s="1"/>
  <c r="J425" i="1" s="1"/>
  <c r="J430" i="1" s="1"/>
  <c r="J639" i="1"/>
  <c r="J640" i="1" s="1"/>
  <c r="J671" i="1"/>
  <c r="J672" i="1" s="1"/>
  <c r="J1194" i="1"/>
  <c r="J1198" i="1" s="1"/>
  <c r="J1199" i="1" s="1"/>
  <c r="J1200" i="1" s="1"/>
  <c r="J1201" i="1" s="1"/>
  <c r="J373" i="1"/>
  <c r="J122" i="1"/>
  <c r="J123" i="1" s="1"/>
  <c r="J161" i="1"/>
  <c r="J162" i="1" s="1"/>
  <c r="J163" i="1" s="1"/>
  <c r="J201" i="1"/>
  <c r="J202" i="1" s="1"/>
  <c r="J203" i="1" s="1"/>
  <c r="J210" i="1" s="1"/>
  <c r="J329" i="1"/>
  <c r="J330" i="1" s="1"/>
  <c r="J331" i="1" s="1"/>
  <c r="J332" i="1" s="1"/>
  <c r="J747" i="1"/>
  <c r="J748" i="1" s="1"/>
  <c r="J808" i="1"/>
  <c r="J247" i="1"/>
  <c r="J776" i="1"/>
  <c r="J936" i="1"/>
  <c r="J937" i="1" s="1"/>
  <c r="J938" i="1" s="1"/>
  <c r="J939" i="1" s="1"/>
  <c r="J1248" i="1"/>
  <c r="J1249" i="1" s="1"/>
  <c r="J278" i="1"/>
  <c r="J634" i="1"/>
  <c r="J635" i="1" s="1"/>
  <c r="J636" i="1" s="1"/>
  <c r="J641" i="1" s="1"/>
  <c r="J652" i="1"/>
  <c r="J653" i="1" s="1"/>
  <c r="J754" i="1"/>
  <c r="J755" i="1" s="1"/>
  <c r="J907" i="1"/>
  <c r="J966" i="1"/>
  <c r="J967" i="1" s="1"/>
  <c r="J968" i="1" s="1"/>
  <c r="J969" i="1" s="1"/>
  <c r="J973" i="1" s="1"/>
  <c r="J1106" i="1"/>
  <c r="J1107" i="1" s="1"/>
  <c r="J1108" i="1" s="1"/>
  <c r="J1144" i="1"/>
  <c r="J1174" i="1"/>
  <c r="J1175" i="1" s="1"/>
  <c r="J1210" i="1"/>
  <c r="J300" i="1"/>
  <c r="J301" i="1" s="1"/>
  <c r="J302" i="1" s="1"/>
  <c r="J364" i="1"/>
  <c r="J365" i="1" s="1"/>
  <c r="J366" i="1" s="1"/>
  <c r="J403" i="1"/>
  <c r="J404" i="1" s="1"/>
  <c r="J411" i="1" s="1"/>
  <c r="J466" i="1"/>
  <c r="J467" i="1" s="1"/>
  <c r="J472" i="1" s="1"/>
  <c r="J112" i="1"/>
  <c r="J113" i="1" s="1"/>
  <c r="J221" i="1"/>
  <c r="J222" i="1" s="1"/>
  <c r="J229" i="1" s="1"/>
  <c r="J279" i="1"/>
  <c r="J280" i="1" s="1"/>
  <c r="J284" i="1" s="1"/>
  <c r="J374" i="1"/>
  <c r="J375" i="1" s="1"/>
  <c r="J379" i="1" s="1"/>
  <c r="J380" i="1" s="1"/>
  <c r="J572" i="1"/>
  <c r="J573" i="1" s="1"/>
  <c r="J579" i="1" s="1"/>
  <c r="J11" i="1"/>
  <c r="J12" i="1" s="1"/>
  <c r="J624" i="1"/>
  <c r="J625" i="1" s="1"/>
  <c r="J626" i="1" s="1"/>
  <c r="J495" i="1"/>
  <c r="J496" i="1" s="1"/>
  <c r="J711" i="1"/>
  <c r="J712" i="1" s="1"/>
  <c r="J719" i="1" s="1"/>
  <c r="J720" i="1" s="1"/>
  <c r="J721" i="1" s="1"/>
  <c r="J722" i="1" s="1"/>
  <c r="J999" i="1"/>
  <c r="J1000" i="1" s="1"/>
  <c r="J1001" i="1" s="1"/>
  <c r="J1091" i="1"/>
  <c r="J1092" i="1" s="1"/>
  <c r="J1093" i="1" s="1"/>
  <c r="J1109" i="1"/>
  <c r="J1110" i="1" s="1"/>
  <c r="J1137" i="1"/>
  <c r="J1138" i="1" s="1"/>
  <c r="J1145" i="1" s="1"/>
  <c r="J70" i="1"/>
  <c r="J71" i="1" s="1"/>
  <c r="J392" i="1"/>
  <c r="J535" i="1"/>
  <c r="J536" i="1" s="1"/>
  <c r="J870" i="1"/>
  <c r="J871" i="1" s="1"/>
  <c r="J58" i="1"/>
  <c r="J59" i="1" s="1"/>
  <c r="J169" i="1"/>
  <c r="J340" i="1"/>
  <c r="J502" i="1"/>
  <c r="J607" i="1"/>
  <c r="J608" i="1" s="1"/>
  <c r="J609" i="1" s="1"/>
  <c r="J889" i="1"/>
  <c r="J890" i="1" s="1"/>
  <c r="J897" i="1" s="1"/>
  <c r="J898" i="1" s="1"/>
  <c r="J899" i="1" s="1"/>
  <c r="J900" i="1" s="1"/>
  <c r="J908" i="1"/>
  <c r="J909" i="1" s="1"/>
  <c r="J1118" i="1"/>
  <c r="J1119" i="1" s="1"/>
  <c r="J802" i="1"/>
  <c r="J915" i="1"/>
  <c r="J1049" i="1"/>
  <c r="J1050" i="1" s="1"/>
  <c r="J1057" i="1" s="1"/>
  <c r="J1277" i="1"/>
  <c r="J1300" i="1"/>
  <c r="J1301" i="1" s="1"/>
  <c r="J547" i="1"/>
  <c r="J552" i="1" s="1"/>
  <c r="J183" i="1"/>
  <c r="J516" i="1"/>
  <c r="J517" i="1" s="1"/>
  <c r="J598" i="1"/>
  <c r="J599" i="1" s="1"/>
  <c r="J600" i="1" s="1"/>
  <c r="J1008" i="1"/>
  <c r="J1009" i="1" s="1"/>
  <c r="J1010" i="1" s="1"/>
  <c r="J240" i="1"/>
  <c r="J241" i="1" s="1"/>
  <c r="J248" i="1" s="1"/>
  <c r="J259" i="1"/>
  <c r="J260" i="1" s="1"/>
  <c r="J267" i="1" s="1"/>
  <c r="J314" i="1"/>
  <c r="J561" i="1"/>
  <c r="J562" i="1" s="1"/>
  <c r="J563" i="1" s="1"/>
  <c r="J19" i="1"/>
  <c r="J20" i="1" s="1"/>
  <c r="J483" i="1"/>
  <c r="J484" i="1" s="1"/>
  <c r="J485" i="1" s="1"/>
  <c r="J523" i="1"/>
  <c r="J590" i="1"/>
  <c r="J591" i="1" s="1"/>
  <c r="J692" i="1"/>
  <c r="J698" i="1" s="1"/>
  <c r="J699" i="1" s="1"/>
  <c r="J700" i="1" s="1"/>
  <c r="J701" i="1" s="1"/>
  <c r="J788" i="1"/>
  <c r="J823" i="1"/>
  <c r="J824" i="1" s="1"/>
  <c r="J984" i="1"/>
  <c r="J1018" i="1"/>
  <c r="J1073" i="1"/>
  <c r="J1074" i="1" s="1"/>
  <c r="J1075" i="1" s="1"/>
  <c r="J1125" i="1"/>
  <c r="J1082" i="1"/>
  <c r="J1083" i="1" s="1"/>
  <c r="J1156" i="1"/>
  <c r="J1157" i="1" s="1"/>
  <c r="J1243" i="1"/>
  <c r="J1250" i="1" s="1"/>
  <c r="J1039" i="1"/>
  <c r="J1040" i="1" s="1"/>
  <c r="J1041" i="1" s="1"/>
  <c r="J1065" i="1"/>
  <c r="J1066" i="1" s="1"/>
  <c r="J1067" i="1" s="1"/>
  <c r="J124" i="1" l="1"/>
  <c r="J809" i="1"/>
  <c r="J749" i="1"/>
  <c r="J750" i="1" s="1"/>
  <c r="J756" i="1" s="1"/>
  <c r="J757" i="1" s="1"/>
  <c r="J758" i="1" s="1"/>
  <c r="J759" i="1" s="1"/>
  <c r="J1303" i="1"/>
  <c r="J1304" i="1" s="1"/>
  <c r="J1126" i="1"/>
  <c r="J654" i="1"/>
  <c r="J660" i="1" s="1"/>
  <c r="J661" i="1" s="1"/>
  <c r="J662" i="1" s="1"/>
  <c r="J663" i="1" s="1"/>
  <c r="J1176" i="1"/>
  <c r="J1181" i="1" s="1"/>
  <c r="J673" i="1"/>
  <c r="J674" i="1" s="1"/>
  <c r="J35" i="1"/>
  <c r="J36" i="1" s="1"/>
  <c r="J47" i="1" s="1"/>
  <c r="J48" i="1" s="1"/>
  <c r="J49" i="1" s="1"/>
  <c r="J50" i="1" s="1"/>
  <c r="J1146" i="1"/>
  <c r="J1147" i="1" s="1"/>
  <c r="J1148" i="1" s="1"/>
  <c r="J285" i="1"/>
  <c r="J286" i="1" s="1"/>
  <c r="J287" i="1" s="1"/>
  <c r="J125" i="1"/>
  <c r="J126" i="1" s="1"/>
  <c r="J127" i="1" s="1"/>
  <c r="J128" i="1" s="1"/>
  <c r="J452" i="1"/>
  <c r="J453" i="1" s="1"/>
  <c r="J454" i="1" s="1"/>
  <c r="J455" i="1" s="1"/>
  <c r="J1058" i="1"/>
  <c r="J1059" i="1"/>
  <c r="J1060" i="1" s="1"/>
  <c r="J211" i="1"/>
  <c r="J212" i="1" s="1"/>
  <c r="J213" i="1" s="1"/>
  <c r="J810" i="1"/>
  <c r="J811" i="1" s="1"/>
  <c r="J812" i="1" s="1"/>
  <c r="J431" i="1"/>
  <c r="J432" i="1" s="1"/>
  <c r="J433" i="1" s="1"/>
  <c r="J434" i="1" s="1"/>
  <c r="J1251" i="1"/>
  <c r="J1252" i="1" s="1"/>
  <c r="J1253" i="1" s="1"/>
  <c r="J268" i="1"/>
  <c r="J269" i="1" s="1"/>
  <c r="J270" i="1" s="1"/>
  <c r="J412" i="1"/>
  <c r="J413" i="1" s="1"/>
  <c r="J414" i="1" s="1"/>
  <c r="J974" i="1"/>
  <c r="J975" i="1" s="1"/>
  <c r="J473" i="1"/>
  <c r="J474" i="1" s="1"/>
  <c r="J475" i="1" s="1"/>
  <c r="J476" i="1" s="1"/>
  <c r="J642" i="1"/>
  <c r="J643" i="1" s="1"/>
  <c r="J644" i="1" s="1"/>
  <c r="J778" i="1"/>
  <c r="J779" i="1" s="1"/>
  <c r="J780" i="1" s="1"/>
  <c r="J249" i="1"/>
  <c r="J250" i="1" s="1"/>
  <c r="J251" i="1" s="1"/>
  <c r="J553" i="1"/>
  <c r="J554" i="1" s="1"/>
  <c r="J555" i="1" s="1"/>
  <c r="J580" i="1"/>
  <c r="J581" i="1" s="1"/>
  <c r="J582" i="1" s="1"/>
  <c r="J315" i="1"/>
  <c r="J316" i="1" s="1"/>
  <c r="J317" i="1" s="1"/>
  <c r="J1127" i="1"/>
  <c r="J1128" i="1" s="1"/>
  <c r="J1129" i="1" s="1"/>
  <c r="J503" i="1"/>
  <c r="J393" i="1"/>
  <c r="J394" i="1" s="1"/>
  <c r="J395" i="1" s="1"/>
  <c r="J341" i="1"/>
  <c r="J342" i="1" s="1"/>
  <c r="J348" i="1" s="1"/>
  <c r="J230" i="1"/>
  <c r="J231" i="1"/>
  <c r="J232" i="1" s="1"/>
  <c r="J1182" i="1"/>
  <c r="J1183" i="1" s="1"/>
  <c r="J1184" i="1" s="1"/>
  <c r="J1280" i="1"/>
  <c r="J1278" i="1"/>
  <c r="J1279" i="1" s="1"/>
  <c r="J1281" i="1" s="1"/>
  <c r="J1282" i="1" s="1"/>
  <c r="J1158" i="1"/>
  <c r="J1159" i="1" s="1"/>
  <c r="J1164" i="1" s="1"/>
  <c r="J789" i="1"/>
  <c r="J790" i="1" s="1"/>
  <c r="J791" i="1" s="1"/>
  <c r="J21" i="1"/>
  <c r="J170" i="1"/>
  <c r="J872" i="1"/>
  <c r="J873" i="1" s="1"/>
  <c r="J878" i="1" s="1"/>
  <c r="J879" i="1" s="1"/>
  <c r="J880" i="1" s="1"/>
  <c r="J881" i="1" s="1"/>
  <c r="J191" i="1"/>
  <c r="J192" i="1" s="1"/>
  <c r="J193" i="1" s="1"/>
  <c r="J60" i="1"/>
  <c r="J61" i="1" s="1"/>
  <c r="J72" i="1" s="1"/>
  <c r="J524" i="1"/>
  <c r="J1019" i="1"/>
  <c r="J1020" i="1" s="1"/>
  <c r="J1021" i="1" s="1"/>
  <c r="J916" i="1"/>
  <c r="J917" i="1" s="1"/>
  <c r="J918" i="1" s="1"/>
  <c r="J919" i="1" s="1"/>
  <c r="J349" i="1" l="1"/>
  <c r="J350" i="1" s="1"/>
  <c r="J351" i="1" s="1"/>
  <c r="J1165" i="1"/>
  <c r="J1166" i="1" s="1"/>
  <c r="J1167" i="1" s="1"/>
  <c r="J73" i="1"/>
  <c r="J74" i="1" s="1"/>
  <c r="J75" i="1" s="1"/>
  <c r="J76" i="1" s="1"/>
  <c r="J504" i="1"/>
  <c r="J505" i="1" s="1"/>
  <c r="J506" i="1" s="1"/>
  <c r="J525" i="1"/>
  <c r="J526" i="1" s="1"/>
  <c r="J527" i="1" s="1"/>
  <c r="J171" i="1"/>
  <c r="J172" i="1" s="1"/>
  <c r="J173" i="1" s="1"/>
  <c r="J22" i="1"/>
  <c r="J23" i="1" s="1"/>
  <c r="J24" i="1" s="1"/>
</calcChain>
</file>

<file path=xl/sharedStrings.xml><?xml version="1.0" encoding="utf-8"?>
<sst xmlns="http://schemas.openxmlformats.org/spreadsheetml/2006/main" count="2559" uniqueCount="649">
  <si>
    <t>Concealed PVC Pipe</t>
  </si>
  <si>
    <t>Data</t>
  </si>
  <si>
    <t xml:space="preserve"> 24-25-RSD 1.4.1(b)</t>
  </si>
  <si>
    <t>Replacement of old u/s with new Supply and laying of ISI  25mm outer dia medium  grade with IS:9537 part 3 rigidPVC pipe concealed in wall with PVC / Metallic junction boxes, accessories including masonary work for light, fan and separate plug point  including  chisseling brick work, engaging skilled mason for fine wall cement plastering  &amp; all labour charges etc., complete for Modular concealed wiring. Makes : Sudhakar/Modi</t>
  </si>
  <si>
    <t>a) Labour charges :</t>
  </si>
  <si>
    <t>Quantity</t>
  </si>
  <si>
    <t>Unit</t>
  </si>
  <si>
    <t>Rate</t>
  </si>
  <si>
    <t>Amount</t>
  </si>
  <si>
    <t>Skilled Electrician. SOR-2025-26 Sl No 5 of cat-I Skilled Labour rates.</t>
  </si>
  <si>
    <t>day</t>
  </si>
  <si>
    <t>Semi skilled Electrician / Helper. SOR-2025-26 Sl No 34 of  cat-II Semi skilled Labour rates.</t>
  </si>
  <si>
    <t>Helper. SOR-2025-26 Sl No 34 of Cat-II  Semi skilled Labour rates.</t>
  </si>
  <si>
    <t>Mason Cl- I / Brick layer Cl- I  SOR-2025-26 Sl No 11 of  skilled Labour rates.</t>
  </si>
  <si>
    <t>Labour Rate Per 100 Rm</t>
  </si>
  <si>
    <t>Labour Rate for  1 Mtr</t>
  </si>
  <si>
    <t xml:space="preserve"> Add GHMC allowance@40%</t>
  </si>
  <si>
    <t xml:space="preserve"> Labour Sub  total</t>
  </si>
  <si>
    <t>b) Material</t>
  </si>
  <si>
    <t>ELEC-10.4.10</t>
  </si>
  <si>
    <t>Cement (ELEC-10.4.10)</t>
  </si>
  <si>
    <t>Kg</t>
  </si>
  <si>
    <t>ELEC-10.1.4</t>
  </si>
  <si>
    <t>U Nails (ELEC-10.1.4)</t>
  </si>
  <si>
    <t>Nos</t>
  </si>
  <si>
    <t>ELEC-1.2.6 b</t>
  </si>
  <si>
    <t>Supply of 25 mm PVC Junction Boxes Normal
Makes: Sudhakar/Modi</t>
  </si>
  <si>
    <t>ELEC-1.2.8 b</t>
  </si>
  <si>
    <t>Supply of 25mm dia medium grade PVC Bends makes: Sudhakar/Modi</t>
  </si>
  <si>
    <t>No</t>
  </si>
  <si>
    <t>ELEC-1.2.2 b</t>
  </si>
  <si>
    <t>Supply of ISI 25mm outer dia medium grade with IS:9537 part 3 regid PVC pipe of makes Sudhakar/Modi</t>
  </si>
  <si>
    <t>Mtr</t>
  </si>
  <si>
    <t>Material Rate for 100 Mtrs</t>
  </si>
  <si>
    <t>Material Rate for  1 Mtr</t>
  </si>
  <si>
    <t>Total Cost of Material + Labour Charges</t>
  </si>
  <si>
    <t xml:space="preserve">Add Overhead @ 10.615% </t>
  </si>
  <si>
    <t>Total Rate</t>
  </si>
  <si>
    <t xml:space="preserve"> Rounded off rate</t>
  </si>
  <si>
    <t>Surface PVC Pipe</t>
  </si>
  <si>
    <t xml:space="preserve">24-25 RSD 1.3.2 </t>
  </si>
  <si>
    <t>Replacement of old u/s with new Supply and Fixing of ISI marked  25mm outer dia medium  grade with IS:9537 part 3 regid PVC pipe on surface of wall with PVC / Metallic junction boxes fixing on chromium plated metallic base saddles including all required materials with redoing wall fine cement plastering etc., completewith all labour charges for run of mains.(Data No.24-25 SD-1.3.2)</t>
  </si>
  <si>
    <t xml:space="preserve">Makes :Sudhakar/Modi
</t>
  </si>
  <si>
    <t>Add GHMC Allowance @40%</t>
  </si>
  <si>
    <t>Labour subtotal</t>
  </si>
  <si>
    <t>Elec 10.1.2</t>
  </si>
  <si>
    <t>Rawl Plugs. (SOR-2025-26- ELEC-10.1.2)</t>
  </si>
  <si>
    <t>Elec 1.4.4-d</t>
  </si>
  <si>
    <t>Supply of No.8 Screws of 35/38mm. (SOR-2025-26 ELEC-1.4.4-d)</t>
  </si>
  <si>
    <t>Elec 10.4.10</t>
  </si>
  <si>
    <t>Cement. ( SOR 24-25 ELEC-10.4.10 )</t>
  </si>
  <si>
    <t>ELEC-1.1.11 b</t>
  </si>
  <si>
    <t>Supply of 25mm Saddles with Base. (SOR-2025-26-ELEC-1.1.11-b)</t>
  </si>
  <si>
    <t>Supply of 25 mm PVC Junction Boxes NormalMakes: Sudhakar/Modi</t>
  </si>
  <si>
    <t>Elec 1.2.2 b</t>
  </si>
  <si>
    <t>Supply of ISI 25mm outer dia medium grade with IS:9537 part 3 regid PVC pipe of makes  Sudhakar/Modi</t>
  </si>
  <si>
    <t>24-25-RSD 2.1.2</t>
  </si>
  <si>
    <t>24-25-RSD2.1.2</t>
  </si>
  <si>
    <t>Rewiring with run of 2 of 1.5Sqmm  Class - II Conductor  HFFR  PVC insulated 1100V grade as per IS:694 /2010, IS 17048 specification for Copper cable in existing consealed pipe including supply and fixing of  3 Plate Jumbo Ceiling rose of Makes :  GM G Home / Gold Medal Olive / Million Zoom make ,10A ISI marked  Modular type switch with cover frame and necessary modular box duly concealed in wall including cost and conveyance of all material and all labour charges etc., complete for light and bell  points in R.B.                                                                                                                                                                                                                                                                                                                                                                                                                                                                                                           Copper cable Makes :Finolex / RR kabel / Havells / Polycab   Switch Makes :Legrand Lyncus / GM Four Five / Goldmedal Curve / Million Milltech / Anchor Roma Plus</t>
  </si>
  <si>
    <t>Labour Rate Per 7 pts</t>
  </si>
  <si>
    <t>Labour Rate for  1 pt</t>
  </si>
  <si>
    <t xml:space="preserve"> Add GHMC allowance @40%</t>
  </si>
  <si>
    <t>ELEC-1.5.1-a</t>
  </si>
  <si>
    <t xml:space="preserve">Supply of 1.5Sqmm  Class - II Conductor  HFFR  PVC insulated 1100V grade as per IS:694 /2010, IS 17048 specification for Copper cable. Makes :Finolex / RR kabel / Havells / Polycab  </t>
  </si>
  <si>
    <t>Mtrs</t>
  </si>
  <si>
    <t>ELEC-1.7.1.m</t>
  </si>
  <si>
    <t>Supply of 3 Plate Jumbo Ceiling Rose of Makes :  GM G Home / Gold Medal Olive / Million Zoom</t>
  </si>
  <si>
    <t>ELEC-1.3.1.b</t>
  </si>
  <si>
    <t>Supply of 3 Module box.</t>
  </si>
  <si>
    <t>ELEC-1.3.1.c</t>
  </si>
  <si>
    <t>Supply of 4 Module box.</t>
  </si>
  <si>
    <t>ELEC-1.3.4.b</t>
  </si>
  <si>
    <t>Supply of 3 Modular Cover Frame of Makes :  Legrand Lyncus / GM Four Five / Goldmedal Curve / Million Milltech / Anchor Roma Plus</t>
  </si>
  <si>
    <t>ELEC-1.3.4.c</t>
  </si>
  <si>
    <t>Supply of 4 Modular Cover Frame of makes :  Legrand Lyncus / GM Four Five / Goldmedal Curve / Million Milltech / Anchor Roma Plus</t>
  </si>
  <si>
    <t>ELEC-1.9.2.a</t>
  </si>
  <si>
    <t>Supply of 6/10A 1 Way 1 Module Modular Switch of  Makes  :   Legrand Lyncus / GM Four Five / Goldmedal Curve / Million Milltech / Anchor Roma Plus</t>
  </si>
  <si>
    <t>Total material cost for 7 pts</t>
  </si>
  <si>
    <t>Total material cost for 1 pt</t>
  </si>
  <si>
    <t>Total Material and Labour charges for 1 pt</t>
  </si>
  <si>
    <t>Sub Total Rate</t>
  </si>
  <si>
    <t xml:space="preserve">Elec 1.5.4 </t>
  </si>
  <si>
    <r>
      <rPr>
        <b/>
        <sz val="10"/>
        <rFont val="Times New Roman"/>
        <family val="1"/>
      </rPr>
      <t>Deduction of finalised item cost acc. to NOTE 2 :</t>
    </r>
    <r>
      <rPr>
        <sz val="10"/>
        <rFont val="Times New Roman"/>
        <family val="1"/>
      </rPr>
      <t xml:space="preserve"> If FRLSH (FRLS) Wires are used instead of   HFFR during execution of work, for arrig  the  FRLSH  (FRLS)  Flexible  wires rates  15%  may  be  deducted  from  the finished    Cost  data  of  Light  /  Fan  / Separate   Plug   Points   and   Run   of mains.</t>
    </r>
    <r>
      <rPr>
        <b/>
        <sz val="10"/>
        <rFont val="Times New Roman"/>
        <family val="1"/>
      </rPr>
      <t>NOTE 3 :</t>
    </r>
    <r>
      <rPr>
        <sz val="10"/>
        <rFont val="Times New Roman"/>
        <family val="1"/>
      </rPr>
      <t xml:space="preserve"> If Class - II conductor Wires   are   not      used   5%   may   be deducted from the finished   Cost data of  Light  /  Fan  /  Separate  Plug  Points and Run of mains.</t>
    </r>
  </si>
  <si>
    <t>Rewiring with 3 runs of  1.5Sqmm  Class - II Conductor  HFFR  PVC insulated 1100V grade as per IS:694 /2010, IS 17048 specification for Copper cable in existing consealed pipe including supply and fixing of  3 Plate Jumbo Ceiling rose of  GM G Home / Gold Medal Olive / Million Zoommake , 10A ISI marked  Modular type switch with cover frame and necessary modular box duly concealed in wall including cost and conveyance of all material and all labour charges etc., complete for fan and exhaust fan points in Residential Buildings of Copper cable Makes :  Finolex / RR kabel / Havells / Polycab                                                                                                                                                                                                                                                                                              Switch Makes :Legrand Lyncus / GM Four Five / Goldmedal Curve / Million Milltech / Anchor Roma Plus</t>
  </si>
  <si>
    <t xml:space="preserve">Supply of 1.5 Sqmm  Class - II Conductor  HFFR  PVC insulated 1100V grade as per IS:694 /2010, IS 17048 specification for Copper cable. Makes :Finolex / RR kabel / Havells / Polycab  </t>
  </si>
  <si>
    <t>Supply of 3 Plate Jumbo Ceiling Rose of Makes : GM G Home / Gold Medal Olive / Million Zoom</t>
  </si>
  <si>
    <t>Supply of  6/10A 1 Way 1 Module Modular Switch of  Makes  :  Legrand Lyncus / GM Four Five / Goldmedal Curve / Million Milltech / Anchor Roma Plus</t>
  </si>
  <si>
    <t>Common Switch Board</t>
  </si>
  <si>
    <t>24-25 RSD 2.1.4</t>
  </si>
  <si>
    <t xml:space="preserve">Replacement of old u/s with new Supply and fixing of ISI Marked 10A  3/2 pin Modular socket with shutter with 10A 1way Modular switch  and cover frame on a common switch  board with Module box  with connections including cost and conveyance of all materials and all labour charges etc., complete in N.R.B. / R.B of  Makes  : Legrand Lyncus / GM Four Five / Goldmedal Curve / Million Milltech / Anchor Roma Plus                                                              </t>
  </si>
  <si>
    <t>Labour for 1 Point</t>
  </si>
  <si>
    <t>Supply of 3 Modular Cover Frame of Makes : Legrand Lyncus / GM Four Five / Goldmedal Curve / Million Milltech / Anchor Roma Plus</t>
  </si>
  <si>
    <t>Supply of  6/10A 1 Way 1 Module Modular Switch of Makes  :  Legrand Lyncus / GM Four Five / Goldmedal Curve / Million Milltech / Anchor Roma Plus</t>
  </si>
  <si>
    <t>ELEC-1.9.2.d</t>
  </si>
  <si>
    <t>Supply of  10A 3/2 Pin 2 Module Modular Socket with shutter of Makes  :   Legrand Lyncus / GM Four Five / Goldmedal Curve / Million Milltech / Anchor Roma Plus</t>
  </si>
  <si>
    <t>Total material cost</t>
  </si>
  <si>
    <t>Total Material and Labour charges for 1 no</t>
  </si>
  <si>
    <t>Power Plug</t>
  </si>
  <si>
    <t>24-25 RSD 2.1.6</t>
  </si>
  <si>
    <t>Replacement of old u/s with new Supply and fixing of ISI marked 16A / 6A 1 way 2 Module Combi Socket Modular Socket with shutter, 16 Amps Modular switch on a 3 Modular box with suitable cover frame with connections including cost and conveyance of all material and all labour charges etc., complete in N.R.B. / R.B.                                                                                                                                                                                                                                                                                                                                                                                                                                                                                                                                    Makes Legrand Lyncus / GM Four Five / Goldmedal Curve / Million Milltech / Anchor Roma Plus</t>
  </si>
  <si>
    <t>Labour for 1 No</t>
  </si>
  <si>
    <t>ELEC-1.9.2.h</t>
  </si>
  <si>
    <t>Supply of  16A / 20A 1 Way 1 Module Modular Switch of  Makes  : Legrand Lyncus / GM Four Five / Goldmedal Curve / Million Milltech / Anchor Roma Plus</t>
  </si>
  <si>
    <t>ELEC-1.9.2.L</t>
  </si>
  <si>
    <t>Supply of 16A / 6A 1 way 2 Module Combi Socket Modular Socket with shutter of  Makes  :   Legrand Lyncus / GM Four Five / Goldmedal Curve / Million Milltech / Anchor Roma Plus</t>
  </si>
  <si>
    <t>Power Plug Two Nos</t>
  </si>
  <si>
    <t>24-25 RSD 2.1.6X2</t>
  </si>
  <si>
    <t>Replacement of old u/s with new Supply and fixing of 2 No.s  ISI marked 16A / 6A 1 way 2 Module Combi Socket Modular Socket with shutter, 16 Amps Modular switch on suitable Modular box with suitable cover frame with connections including cost and conveyance of all material and all labour charges etc., complete in N.R.B. / R.B.                                                                                                                                                                                                                                                                                                                                                                                                                                                                                                                                    Makes :Legrand Lyncus / GM Four Five / Goldmedal Curve / Million Milltech / Anchor Roma Plus</t>
  </si>
  <si>
    <t>ELEC-1.3.1.d</t>
  </si>
  <si>
    <t>Supply of 6 Module box.</t>
  </si>
  <si>
    <t>ELEC-1.3.4.d</t>
  </si>
  <si>
    <t>Supply of 6 Modular Cover Frame of Makes : Legrand Lyncus / GM Four Five / Goldmedal Curve / Million Milltech / Anchor Roma Plus</t>
  </si>
  <si>
    <t>Supply of  16A / 20A 1 Way 1 Module Modular Switch of  Makes  :   Legrand Lyncus / GM Four Five / Goldmedal Curve / Million Milltech / Anchor Roma Plus</t>
  </si>
  <si>
    <t>16A / 6A 1 way 2 Module Combi Socket Modular Socket with shutter of  Makes  :   Legrand Lyncus / GM Four Five / Goldmedal Curve / Million Milltech / Anchor Roma Plus</t>
  </si>
  <si>
    <t>6Module (6A Sockets &amp; -6A Switches -  Two Nos)</t>
  </si>
  <si>
    <t>24-25 RSD 2.1.4X2</t>
  </si>
  <si>
    <t>Replacement of old u/s with new Supply and fixing of  2 no.s ISI Marked 10A  3/2 pin Modular socket with shutter with 2 No.s 10A 1way Modular switch  and cover frame on a common switch  board with Module box  with connections including cost and conveyance of all materials and all labour charges etc., complete in N.R.B. / R.B.                                                                                                                                                                                                                                                                                                                                                                                                                                                                                                                                                                                                                                                                                                                                                                                                                                              Makes :Legrand Lyncus / GM Four Five / Goldmedal Curve / Million Milltech / Anchor Roma Plus</t>
  </si>
  <si>
    <t>Supply of  10A 1 Way 1 Module Modular Switch of  Makes  : Legrand Lyncus / GM Four Five / Goldmedal Curve / Million Milltech / Anchor Roma Plus</t>
  </si>
  <si>
    <t>Supply of  10A 3/2 Pin 2 Module Modular Socket with shutter of  Makes  :   Legrand Lyncus / GM Four Five / Goldmedal Curve / Million Milltech / Anchor Roma Plus</t>
  </si>
  <si>
    <t>8Module (6A Sockets &amp; -6A Switches -  Three Nos)</t>
  </si>
  <si>
    <t>24-25 RSD 2.1.4X3</t>
  </si>
  <si>
    <t>Replacement of old u/s with new Supply and fixing of ISI marked 3 Nos 10A Modular type switches with 2 Nos 10A  3/2 pin Modular plug sockets with shutter  on 8 Modular box with cover frame including connections, cost and coveyance of all material and all labour charges etc., complete for Computers in N.R.B. / R.B.                                                                                                                                                                                                                                                                                                                                                                                                                                                                                       Makes : Legrand Lyncus / GM Four Five / Goldmedal Curve / Million Milltech / Anchor Roma Plus</t>
  </si>
  <si>
    <t>ELEC-1.3.1.e</t>
  </si>
  <si>
    <t>Supply of 8/9 Horizontal/Vertical Module box.</t>
  </si>
  <si>
    <t>ELEC-1.3.4.e</t>
  </si>
  <si>
    <t>Supply of 8 Modular Cover Frame of Makes : Legrand Lyncus / GM Four Five / Goldmedal Curve / Million Milltech / Anchor Roma Plus</t>
  </si>
  <si>
    <t>Supply of  10A 3/2 Pin 2 Module Modular Socket with shutter of  Makes  :  Legrand Lyncus / GM Four Five / Goldmedal Curve / Million Milltech / Anchor Roma Plus</t>
  </si>
  <si>
    <t>12Module (6A Sockets &amp; -6A Switches -  Four Nos)</t>
  </si>
  <si>
    <t>24-25 RSD 2.1.4X4</t>
  </si>
  <si>
    <t>Replacement of old u/s with new Supply and fixing of ISI marked 4 Nos 10A Modular type switches with 4 Nos 10A  3/2 pin Modular plug sockets with shutter  on 12 Modular box with cover frame including connections, cost and coveyance of all material and all labour charges etc., complete for Computers in N.R.B. / R.B.                                                                                                                                                                                                                                                                                                                                                                                                                                                                                       Makes : Legrand Lyncus / GM Four Five / Goldmedal Curve / Million Milltech / Anchor Roma Plus</t>
  </si>
  <si>
    <t>ELEC-1.3.1.f</t>
  </si>
  <si>
    <t>Supply of 12 Module box.</t>
  </si>
  <si>
    <t>ELEC-1.3.4.f</t>
  </si>
  <si>
    <t>Supply of 12 Modular Cover Frame of Makes :  Legrand Lyncus / GM Four Five / Goldmedal Curve / Million Milltech / Anchor Roma Plus</t>
  </si>
  <si>
    <t>Supply of  10A 1 Way 1 Module Modular Switch of  Makes  :   Legrand Lyncus / GM Four Five / Goldmedal Curve / Million Milltech / Anchor Roma Plus</t>
  </si>
  <si>
    <t>Ding Dong Bell</t>
  </si>
  <si>
    <t>24-25  RSD-2.1.13</t>
  </si>
  <si>
    <t>Replacement of old u/s with new Supply and fixing of Ding Dong Bell  of makes  GM / Million / Gold Medal / Anchor / Great white,in lieu of Ceiling rose, including giving connections, cost of all accessories and labour charges etc., complete.</t>
  </si>
  <si>
    <t>Makes : GM / Million / Gold Medal /Anchor / Great White.</t>
  </si>
  <si>
    <t>ELEC-1.7.2 b</t>
  </si>
  <si>
    <t xml:space="preserve">Supply of  Ding Dong Bell of Makes :GM / Million / Gold Medal / 
Anchor / Great white. </t>
  </si>
  <si>
    <t>Cost of Material</t>
  </si>
  <si>
    <t>1200mm length LED light</t>
  </si>
  <si>
    <t>SD-N.A</t>
  </si>
  <si>
    <t>Replacement of old u/s with newSupply    and    transportation    of    22W +/ 10% , &gt;/   2300    lumens, 1200 mm (+/- 10%) length LED light  housing made with alluminium anodised body, wide operating voltage with   PF≥0.9, Surge protection: &gt; 2KV, THD&lt;15%, with inbuilt driver and frosted cover CCT: 3000K - 6500K as desired by the department as per IS, minimum CRI≥80 etc., complete with 2 years warranty  with BIS Certification  with BIS Certification. LUMINAIRE MAKE : Phillips  / Wipro / Crompton  / Havells LED MAKE : Philips Lumileds / Cree / Nichia / Osram / Samsung / LG LEDs. 
,</t>
  </si>
  <si>
    <t xml:space="preserve">a) Labour charges  </t>
  </si>
  <si>
    <t>Cost of Material for fixing luminaire</t>
  </si>
  <si>
    <t>ELEC-3.3.16</t>
  </si>
  <si>
    <t xml:space="preserve">Supply    and    transportation    of    22W +/ 10% , &gt;/   2300    lumens, 1200 
mm (+/- 10%) length LED light  housing made with alluminium anodised body, wide operating voltage with   PF≥0.9, Surge protection: &gt; 2KV, THD&lt;15%, with inbuilt driver and frosted cover CCT: 3000K - 6500K as desired by the department as per IS, minimum CRI≥80 etc., complete with 5 years warranty  with BIS Certification  with BIS Certification. 
LUMINAIRE MAKE : Phillips / OSRAM / Wipro / Crompton / Bajaj / Havells / Jaquar / Panasonic / Halonix / HPL / Eveready / Surya / Keselec / 
Arraystorm / GM / Goldmedal / Goldwyn / Fortune Arrt / Lighting Technologies / Bee-Lite LED MAKE : Philips Lumileds / Cree / Nichia / Osram / Samsung / LG LEDs. </t>
  </si>
  <si>
    <t>15W LED Slimline Panel Light</t>
  </si>
  <si>
    <t xml:space="preserve">SD-NA </t>
  </si>
  <si>
    <t>Replacement of old u/s with new Supply and transportation of 15W  +/-10% (&gt;= 1350 Lumens)edge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 Wipro / Crompton  / Havells  LED MAKE : Philips Lumileds / Cree / Nichia / Osram / Samsung / LG LEDs.</t>
  </si>
  <si>
    <t>ELEC- 3.3.7-c</t>
  </si>
  <si>
    <t>Supply and transportation of 15W  +/-10% (&gt;= 1350 Lumens)edge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 Wipro / Crompton  / Havells  LED MAKE : Philips Lumileds / Cree / Nichia / Osram / Samsung / LG LEDs.</t>
  </si>
  <si>
    <t>no</t>
  </si>
  <si>
    <t>Alluminium Flat,screws / hooks,binding wire (As per requirement).</t>
  </si>
  <si>
    <t>15W LED Surface Mounted Down Light</t>
  </si>
  <si>
    <t>Replacement of old u/s with new Supply and transportation of 15 W  +/-10% (&gt;= 1500 Lumens) back   lit   LED   Down   Light Recessed  /  Surface  mounting  round  / square  with  housing  made  of  Powder coated   Pressure   die   cast   aluminium housing with  extended heat sink, with Protruded    high    efficiency    diffuser, IP20,   with   wide   operating   voltage range,   Power   factor   &gt;   0.9,   Surge protection:  &gt;  2KV,  System  efficacy  of &gt;100 lumens/watt, CCT: 3000K - 6500K as  desired  by  the  department  and  as per  IS,   CRI  &gt;80,   and   THD   is   less than    15%         etc.,  complete  with  5 years  warranty  with  BIS  Certification.              LUMINAIRE  MAKE  :  Phillips / Wipro  /  Crompton  / Bajaj  /  Havells   LED  MAKE  :  Philips  Lumileds  /  Cree  / Nichia / Osram / Samsung / LG LEDs.</t>
  </si>
  <si>
    <t>ELEC- 3.3.4 b</t>
  </si>
  <si>
    <t>Supply and transportation of 15 W  +/-10% (&gt;= 1500 Lumens) back   lit   LED   Down   Light Recessed  /  Surface  mounting  round  / square  with  housing  made  of  Powder coated   Pressure   die   cast   aluminium housing with  extended heat sink, with Protruded    high    efficiency    diffuser, IP20,   with   wide   operating   voltage range,   Power   factor   &gt;   0.9,   Surge protection:  &gt;  2KV,  System  efficacy  of &gt;100 lumens/watt, CCT: 3000K - 6500K as  desired  by  the  department  and  as per  IS,   CRI  &gt;80,   and   THD   is   less than    15%         etc.,  complete  with  5 years  warranty  with  BIS  Certification. LUMINAIRE  MAKE  :  Phillips  /  OSRAM  / Wipro  /  Crompton  / Bajaj  /  Havells  / Jaquar  /  Panasonic  /  Halonix  /  HPL  / Eveready    /    Surya    /    Keselec    / Arraystorm   /   GM   /   Goldmedal   / Goldwyn   /   Fortune   Arrt   /   Lighting Technologies                 /         Bee-Lite LED  MAKE  :  Philips  Lumileds  /  Cree  / Nichia / Osram / Samsung / LG LEDs.</t>
  </si>
  <si>
    <t>Ceiling Fans</t>
  </si>
  <si>
    <t>24-25 RSD 9.7.2+ RSD9.7.35</t>
  </si>
  <si>
    <t>Replacement of old u/s with new Supply, Transportation of   energy efficient fan, 1200 mm sweep, aluminium body, consuming 28 W, BEE 5 star rated, ceiling fan with Brush Less Direct Current (BLDC) motor, class of insulation: F, 3 no's blades, 30 cm long down rod, 2 no's canopies, shackle'kit, copper winding, Power Factor greater than 0.90, Service Value (CMMAV) greater than 8.6, Air delivery minimum 235 CMM, 350 RPM( tolerance as per IS:374-2019), THD less than 10%. with remote or compatible to electronic step type regulator unit for speed control and all remaining accessories including safety pin, nut bolts, washers, temperature rise=75°C(max), insulation resistance more than 2 mega ohm, suitable for 230V, 50 HZ, single phase AC supply, earthing etc., including all standard accessories  etc., complete with 5 years warranty.Makes:Atomberg (Efficio ) / Havells  / Orient  / Crompton</t>
  </si>
  <si>
    <t>Deduct labour for not fixing Regulator</t>
  </si>
  <si>
    <t xml:space="preserve">b) Material </t>
  </si>
  <si>
    <t>Elec- 1.5.4</t>
  </si>
  <si>
    <t xml:space="preserve">Supply of 23 / 0060 , 3 core (0.15 mm dia of each lead) twisted / flat heavy 
Copper wire. Makes : Finolex / RR Kabel / Havells / Polycab / GM / Million / V-Guard / Gold Medal / Kundancab / HPL / RPG / Nandicab / Nakoda / Payal / Finecab / Gemini / Vimal / Suncab / Pawancab </t>
  </si>
  <si>
    <t>Elec-5.1.2</t>
  </si>
  <si>
    <t xml:space="preserve">Supply, Transportation of   energy efficient fan, 1200 mm sweep, aluminium body, consuming 28 W, BEE 5 star rated, ceiling fan with Brush Less Direct Current (BLDC) motor, class of insulation: F, 3 no's blades, 30 cm long down rod, 2 no's canopies, shackle'kit, copper winding, Power Factor greater than 0.90, Service Value (CMMAV) greater than 8.6, Air delivery minimum 
235 CMM, 350 RPM( tolerance as per IS:374-2019), THD less than 10%. with 
remote or compatible to electronic step type regulator unit for speed control and all remaining accessories including safety pin, nut bolts, washers, temperature rise=75°C(max), insulation resistance more than 2 mega ohm, suitable for 230V, 50 HZ, single phase AC supply, earthing etc., including all standard accessories  etc., complete with 5 years warranty.Makes:Atomberg (Efficio ) / Havells / Bajaj / Orient / Halonix / Crompton/Goldmedal / GM. </t>
  </si>
  <si>
    <t>Transportation of material</t>
  </si>
  <si>
    <t>Cost of Material for 1 No</t>
  </si>
  <si>
    <t>Stepped Electronic Regulator</t>
  </si>
  <si>
    <t>24-25 RSD 9.7.26</t>
  </si>
  <si>
    <t>Replacement of old u/s with new Supply and fixing of Modular type Stepped  electronic  regulator with connections and Labour charges etc complete.  Makes  : Legrand Lyncus / GM Four Five / Goldmedal Curve / Million Milltech / Anchor Roma Plus</t>
  </si>
  <si>
    <t>ELEC-1.9.2.n</t>
  </si>
  <si>
    <t>Supply of 2 Module Modular type  Electronic Fan Regulator of  Makes  :   Legrand Lyncus / GM Four Five / Goldmedal Curve / Million Milltech / Anchor Roma Plus</t>
  </si>
  <si>
    <t xml:space="preserve">4Module 3W LED Foot lamp </t>
  </si>
  <si>
    <t>24-25 RSD 8.1.1</t>
  </si>
  <si>
    <t xml:space="preserve">Replacement of old u/s with new Supply ,Transportation and fixing of  4Module 3W LED Foot lamp as desired by the department and as per IS,inlcuding all labour charges etc., complete of make GM Four Five. </t>
  </si>
  <si>
    <t xml:space="preserve">Labour </t>
  </si>
  <si>
    <t xml:space="preserve">Supply ,Transportation  of  4Module 3W LED Foot lamp of  make GM Four Five(Approved rate from MRC Qtrs) 
</t>
  </si>
  <si>
    <t xml:space="preserve">Cost of Material </t>
  </si>
  <si>
    <t xml:space="preserve">Rounded of Rate </t>
  </si>
  <si>
    <t>Mirror Lights</t>
  </si>
  <si>
    <t xml:space="preserve">Replacement of old u/s with new Supply    and    transportation    of    10W,   1000    lumens, 600 mm (+/- 10%) length LED batten tube light, housing made with PC body, wide operating voltage  with Single / double side connection,   PF≥0.9,  Surge  protection: &gt;  2KV, THD&lt;15%,  with  inbuilt driver  and  frosted  cover  CCT:  3000K  -  6500K as desired by the department and as per IS specifications,  minimum  CRI≥80,.etc complete with 5 years warranty  with BIS Certification.LUMINAIRE MAKE : Phillips  / Wipro / Crompton  / Havells   LED MAKE : Philips Lumileds / Cree / Nichia / Osram / Samsung / LG LEDs. </t>
  </si>
  <si>
    <t>ELEC-3.3.15</t>
  </si>
  <si>
    <t xml:space="preserve">Supply    and    transportation    of    10W,   1000    lumens, 600 mm (+/- 
10%) length LED batten tube light, housing made with PC body, wide operating voltage  with Single / double side connection,   PF≥0.9,  Surge  
protection: &gt;  2KV, THD&lt;15%,  with  inbuilt driver  and  frosted  cover  CCT:  
3000K  -  6500K as desired by the department and as per IS specifications,  minimum  CRI≥80,.etc complete with 5 years warranty  with BIS Certification.LUMINAIRE MAKE : PPhillips  / Wipro / Crompton  / Havells   LED MAKE : Philips Lumileds / Cree / Nichia / Osram / Samsung / LG LEDs. </t>
  </si>
  <si>
    <t>Exhaust Fan</t>
  </si>
  <si>
    <t>24-25 RSD 9.7.2+RSD 9.7.36</t>
  </si>
  <si>
    <t xml:space="preserve">Replacement of old u/s with new Supply of 12" (300mm +/ - 5%)Light duty exhaust fan with metal blades etc  complete for ante rooms / individual toilets. Makes : Crompton  / Havells VentilairDSP / Orient hill air. </t>
  </si>
  <si>
    <t>Sundries such as  Bolt, Nuts, twin core wire if necessary etc.</t>
  </si>
  <si>
    <t>Cost of Material for fixing fan</t>
  </si>
  <si>
    <t>ELEC-5.1.11 b</t>
  </si>
  <si>
    <t xml:space="preserve">Supply of 12" (300mm +/ - 5%)Light duty exhaust fan with metal blades etc 
complete for ante rooms / individual toilets. Makes : Crompton  / Havells VentilairDSP / Orient hill air. </t>
  </si>
  <si>
    <t>Transportation Charges on Unit Cost @1%</t>
  </si>
  <si>
    <t>Run of 3 of 2.5 Sq.mm Copper Cable</t>
  </si>
  <si>
    <t>24-25 RSD 3.1.4</t>
  </si>
  <si>
    <t xml:space="preserve">Rewiring with  Supply and  Run of 3 of 2.5 Sqmm  Class - II Conductor  HFFR  PVC insulated 1100V grade as per IS:694 /2010, IS 17048 specification for Copper cable in existing pipe for run of mains inlcuding all labour charges etc., complete Copper cable Makes :Finolex / RR kabel / Havells / Polycab  </t>
  </si>
  <si>
    <t>Labour for 100 Mtr</t>
  </si>
  <si>
    <t>Labour for 1 Mtr</t>
  </si>
  <si>
    <t>ELEC-1.5.1-b</t>
  </si>
  <si>
    <t xml:space="preserve">Supply of 2.5 Sqmm  Class - II Conductor  HFFR  PVC insulated 1100V grade as per IS:694 /2010, IS 17048 specification for Copper cable. Makes :Finolex / RR kabel / Havells / Polycab  </t>
  </si>
  <si>
    <t>Cost of Material for 100 Metres</t>
  </si>
  <si>
    <t>Cost of Material Rate per Mtr= C/100</t>
  </si>
  <si>
    <t>Run of 3 of 4.0 Sq.mm Copper Cable</t>
  </si>
  <si>
    <t>24-25- RSD 3.1.5</t>
  </si>
  <si>
    <t>Rewiring with  Supply and  Run of 3 of   4.00 Sqmm  HFFR  PVC insulated 1100V grade as per IS:694 /2010, IS 17048 specification for Copper cable.  in existing pipe for run of mains inlcuding all labour charges etc., complete  Copper cable Makes :Finolex / RR kabel / Havells / Polycab</t>
  </si>
  <si>
    <t xml:space="preserve">Copper Cable Makes : Finolex / RR kabel / Havells / APAR EBXL / KEI (HFFR) / Polycab ((HR_FR-LF) / L&amp;T / V-Guard (HFFR).
</t>
  </si>
  <si>
    <t>ELEC-1.5.1-c</t>
  </si>
  <si>
    <t xml:space="preserve">Supply of 4.00 Sqmm  HFFR  PVC insulated 1100V grade as per IS:694 /2010, IS 17048 specification for Copper cable. Makes :Finolex / RR kabel / Havells / Polycab  </t>
  </si>
  <si>
    <r>
      <rPr>
        <b/>
        <sz val="10"/>
        <rFont val="Times New Roman"/>
        <family val="1"/>
      </rPr>
      <t>Deduction of finalised item cost acc. to NOTE 2 :</t>
    </r>
    <r>
      <rPr>
        <sz val="10"/>
        <rFont val="Times New Roman"/>
        <family val="1"/>
      </rPr>
      <t xml:space="preserve"> If FRLSH (FRLS) Wires are used instead of   HFFR during execution of work, for arrig  the  FRLSH  (FRLS)  Flexible  wires rates  15%  may  be  deducted  from  the finished    Cost  data  of  Light  /  Fan  / Separate   Plug   Points   and   Run   of mains.</t>
    </r>
  </si>
  <si>
    <t>Run of 5 of 6.0 Sq.mm Copper Cable</t>
  </si>
  <si>
    <t>24-25 RSD 3.1.6X2</t>
  </si>
  <si>
    <t>Rewiring with  Supply and  Run of 5 of   (6.0 Sq.mm) HFFR  PVC insulated 1100V grade as per IS:694 /2010, IS 17048 specification for Copper cable. in existing pipe for run of mains inlcuding all labour charges etc., complete  Copper cable Makes :Finolex / RR kabel / Havells / Polycab</t>
  </si>
  <si>
    <t>ELEC-1.5.1-d</t>
  </si>
  <si>
    <t xml:space="preserve">Supply of6Sqmm   HFFR  PVC insulated 1100V grade as per IS:694 /2010, IS 17048 specification for Copper cable. Makes :Finolex / RR kabel / Havells / Polycab  </t>
  </si>
  <si>
    <t>Booster Pump</t>
  </si>
  <si>
    <t>Finished Item</t>
  </si>
  <si>
    <t>Replacement and Supply, Installation, Testing and Commissioning of Pressure Boosting pump with 24 Ltr MS stand, Pressure Switch, Pressure Gauge and all standard fitings fully automatic ON / OFF system, 2900 RPM with stainless steel casing and impellar suitble for 1HPcapacity complete in all respects.
Make : Grundfoss</t>
  </si>
  <si>
    <t xml:space="preserve">a) Material </t>
  </si>
  <si>
    <t>Elec.5..13.1.c</t>
  </si>
  <si>
    <t>Supply, Installation, Testing and Commissioning of Pressure Boosting pump with 24 Ltr MS stand, Pressure Switch, Pressure Gauge and all standard fitings fully automatic ON / OFF system, 2900 RPM with stainless steel casing and impellar suitble for 1HPcapacity complete in all respects.
Make : Grundfoss</t>
  </si>
  <si>
    <t>Each</t>
  </si>
  <si>
    <t xml:space="preserve">Cost of Material for Laying on wall for </t>
  </si>
  <si>
    <t>4Way TPN DB</t>
  </si>
  <si>
    <t>24-25 RSD 4.4.4A</t>
  </si>
  <si>
    <t xml:space="preserve">Replacement of old u/s with new Supply and fixing of 4 Way TPN DB Horizontal with IP 43 Protection as per IS:13032 and suitable for and for  1 No 63A FP Isolator and 12 Nos 6-32 A 10kA SP MCBs as out goings of including internal connections and labour charges for Flush Mounting etc., complete DB Makes : Legrand / Schneider / Siemens                                                                                                                                                                                                                                                                                 MCB Makes :  Legrand-DX3/ Schneider-Acti9 / Siemen </t>
  </si>
  <si>
    <t>a) Labour charges  for Flush Mounting</t>
  </si>
  <si>
    <t xml:space="preserve"> Semi Skilled Mason. SOR-2025-26 Sl No 35 of Cat-II  Semi skilled Labour rates.</t>
  </si>
  <si>
    <t xml:space="preserve">Cement. </t>
  </si>
  <si>
    <t>ELEC-2.17.1-b</t>
  </si>
  <si>
    <t xml:space="preserve">Supply of (8+12)  4  Way  TPN  DB  Horizontal  with  IP  43,
12 Nos Horizontal with IP 43 Protection as per IS:13032 and suitable for 12 Nos S.P. out goings and for 1 No 4 pole  Incommer etc complete ofMakes : Makes  Legrand / Schneider / Siemens </t>
  </si>
  <si>
    <t>ELEC-2.15.1-g</t>
  </si>
  <si>
    <t xml:space="preserve">Supply of 63A FP Isolator of Makes :    Legrand-DX3/ Schneider-Acti9 / Siemen </t>
  </si>
  <si>
    <t>ELEC-2.14.1 -a</t>
  </si>
  <si>
    <t xml:space="preserve">Supply of 6-32A 10KA SP MCB, C/D Curve ISI Mark of make   Legrand-DX3/ Schneider-Acti9 / Siemen </t>
  </si>
  <si>
    <t>Cost of Material  for 1 No</t>
  </si>
  <si>
    <t>8way SPN DB</t>
  </si>
  <si>
    <t>24-25 RSD 4.4.2b</t>
  </si>
  <si>
    <t xml:space="preserve">Replacement of old u/s with new Supply and fixing of 8 Way SPN DB with IP  43 Protection as per IS:13032 including Supply and Fixing of  1 No  40A  DP Isolator and 6 Nos 6-32A 10kA ISI Marked C/D curve SP MCBs with all connections and labour charges etc., complete  for flush Mounting/Surface .                                                                                                                                                                                                        DBMakes :Legrand / Schneider / Siemens / LK / Havells Stadx / ABB / BCH 
Isolator Makes :  Legrand-DX3/ Schneider-Acti9 / Siemen 
MCB Makes :   Legrand-DX3/ Schneider-Acti9 / Siemen 
</t>
  </si>
  <si>
    <t>LABOUR</t>
  </si>
  <si>
    <t>COST OF LABOUR for 1 no</t>
  </si>
  <si>
    <t>MATERIAL</t>
  </si>
  <si>
    <t>ELEC-2.16.1-d</t>
  </si>
  <si>
    <t xml:space="preserve">Supply of8 Way SPN DB with IP 43, Nos - Protection as per IS:13032 and suitable for  8 S.P out goings and for 1 No Incomer with 100 A tinned copper busbar, neutral bar, earth bar and cable ties for cable management, fully shrouded neutral bar, din bars and detachable gland plate  etccomplete with inter connections. Makes : Legrand / Schneider / Siemens / LK / Havells Stadx / ABB / BCH </t>
  </si>
  <si>
    <t>ELEC-2.15.1-b</t>
  </si>
  <si>
    <t xml:space="preserve">Supply of 40A DP Isolator of DB Makes : Makes   :    Legrand-DX3/ Schneider-Acti9 / Siemen 
</t>
  </si>
  <si>
    <t>Finished item</t>
  </si>
  <si>
    <t>Replacement of old u/s with new Supply, Transportation,  Installation, Testing and commissioning of storage / Pressure type Vertical / Horizontal 230/250V single phase 2000watts ISI mark 5 Star rated water heater with ABS plastic body of 25 ltrs capacity to withstand up to 8.0 bar of water pressure including all standard accessories and dead weight pressure reducing valve on out let side, including cost of 2 Nos SS flexible braided hose pipe, testing and all labour charges etc., complete.Makes :  Crompton  / AO Smith/ Venus/ Havells or equivalent  as approved by the Dept.</t>
  </si>
  <si>
    <t>ELEC-5.2.1
c</t>
  </si>
  <si>
    <t>Supply, Transportation,  Installation, Testing and commissioning of storage / Pressure type Vertical / Horizontal 230/250V single phase 2000watts ISI mark 5 Star rated water heater with ABS plastic body of 25 ltrs capacity to withstand up to 8.0 bar of water pressure including all standard accessories and dead weight pressure reducing valve on out let side, including cost of 2 Nos SS flexible braided hose pipe, testing and all labour charges etc., complete of Makes : Crompton  / AO Smith/ Venus/ Havells or equivalent  as approved by the Dept.</t>
  </si>
  <si>
    <t>Run of 1 of  1.50 Sq.mm</t>
  </si>
  <si>
    <t>24-25 RSD 3.1.2</t>
  </si>
  <si>
    <t xml:space="preserve">Rewiring with  Supply and  Run of 1 of  1 .5 Sqmm  Class - II Conductor  HFFR  PVC insulated 1100V grade as per IS:694 /2010, IS 17048 specification for Copper cable in existing pipe for UPS points inlcuding all labour charges etc., complete.Makes :Finolex / RR kabel / Havells / Polycab  </t>
  </si>
  <si>
    <t xml:space="preserve">Independent earthing </t>
  </si>
  <si>
    <t xml:space="preserve">Providing independent earthing for Important equipment with 100mm dia  Heavy gauge C.I ( Cast iron ) pipe with Flange 2.5m long enclosed in C.C/ brick massonry chamber of 450m x 450m x 400mm with R.C.C. Slab cover duly providing staggered holes filling with salt and charcoal from the bottom of the pipe  giving earth connection from electrode through flange with all accessories and labour charges complete, as per IS specifications 732/1982 (Part II)  </t>
  </si>
  <si>
    <t xml:space="preserve"> ELEC -8.19.11</t>
  </si>
  <si>
    <t xml:space="preserve">
Providing independent earthing for Important equipment with 100mm dia  Heavy gauge C.I ( Cast iron ) pipe with Flange 2.5m long enclosed in C.C/ brick massonry chamber of 450m x 450m x 400mm with R.C.C. Slab cover duly providing staggered holes filling with salt and charcoal from the bottom of the pipe  giving earth connection from electrode through flange with all accessories and labour charges complete, as per IS specifications 732/1982 (Part II)  </t>
  </si>
  <si>
    <t>Cost of  Finished item</t>
  </si>
  <si>
    <t xml:space="preserve">Total Cost of Material </t>
  </si>
  <si>
    <t>8 SWG GI Wire</t>
  </si>
  <si>
    <t>24-25 RSD 5.2.5/2</t>
  </si>
  <si>
    <t>Replacement of old u/s with new Supply and Run of  No.8 SWG G.I wire including cost of all accessories and labour charges etc., complete. (0.104Kgs/1Mtr)</t>
  </si>
  <si>
    <t>Labour for 100 Mtrs</t>
  </si>
  <si>
    <t>Labour Charges</t>
  </si>
  <si>
    <t xml:space="preserve"> ELEC -10.3.6</t>
  </si>
  <si>
    <t>Supply aof  No.8 SWG G.I wire.</t>
  </si>
  <si>
    <t>Kgs</t>
  </si>
  <si>
    <t xml:space="preserve"> ELEC -10.1.4</t>
  </si>
  <si>
    <t>U Nails.</t>
  </si>
  <si>
    <t>Tota1</t>
  </si>
  <si>
    <t xml:space="preserve">Starter for Motors
</t>
  </si>
  <si>
    <t>Replacement of u/s with new Supply &amp; Fixing of D.O.L Starter 250V, Single  phase,  50Hz.  With  Sheet  Steel enclouser comprising of contactor  with bi-metalic     relay     with     neceSheet Steelary  push  buttons,  etc.,  complete suitable  upto 3 H.P                                   
Makes: Siemens / LK  / BCH</t>
  </si>
  <si>
    <t>ELEC-5.5.1-a</t>
  </si>
  <si>
    <t>Replacement of u/s with new Supply &amp; Fixing of D.O.L Starter 250V, Single  phase,  50Hz.  With  Sheet  Steel enclouser comprising of contactor  with bi-metalic     relay     with     neceSheet Steelary  push  buttons,  etc.,  complete suitable  upto 3 H,P                                   
Makes: Siemens / LK  / BCH</t>
  </si>
  <si>
    <t>Total</t>
  </si>
  <si>
    <t xml:space="preserve">1.50 HP Borewell Pumpset
</t>
  </si>
  <si>
    <t>Replacement of u/s with new Supply and Transportation of  1.5 HP 21 stage single   phase   ISI   submersible motor  pumpset  suitable  for  4"  Bore well.
Makes:    Texmo    /    CRI / Falcon</t>
  </si>
  <si>
    <t>ELEC-5.8.1.b</t>
  </si>
  <si>
    <t>Supply,Transportation and fixing of  1.50HP Single phase open well ISI submersible motor pumpset of make  Texmo  /  CRI  /  KSB  / Aryenvarsha / Lubi / Falcon</t>
  </si>
  <si>
    <t xml:space="preserve">1.50 HP Monoblock </t>
  </si>
  <si>
    <t>Repalcement of u/s with new Supply and Transportation of 1.5 HP (32x25mm) Single phase ISI Mono block CI body motor                                    pumpset including starter and all labour charges.
Makes:    Texmo    /    CRI / Falcon</t>
  </si>
  <si>
    <t>ELEC-5.6.1-d</t>
  </si>
  <si>
    <t>Supply and Transportation of 1.5 HP (32x25mm) Single phase ISI Mono block CI body motor                                    pumpset.
Makes:    Texmo    /    CRI / Falcon</t>
  </si>
  <si>
    <t>GI Strip</t>
  </si>
  <si>
    <t>24-25-27.1.7</t>
  </si>
  <si>
    <t>Replacement of old u/s with new Supply and Run of  50mm x 6mm G.I Strip including cost of all accessories and labour charges etc., complete. (2.36Kgs/1Mtr) (SD 5.2.7)</t>
  </si>
  <si>
    <t>ELEC -10.3.6</t>
  </si>
  <si>
    <t>G.I. Strip / Plate / Wire (per K. G).</t>
  </si>
  <si>
    <t>Sundries.</t>
  </si>
  <si>
    <t>Flood  Light</t>
  </si>
  <si>
    <t xml:space="preserve">Replacement an Supply and transportation and Fixing  of 150 W +/-10% (&gt;=15000 Lumens) LED Flood light Luminaire made of pressure die cast aluminum housing with powder coated, having toughened glass cover, Suitable lens on LEDs, IP 66 (Silicon gasket ensures Optical &amp; Electrical compartments are IP 66 ) protected, wide operating voltage range , P.F &gt; 0.90, System having efficacy &gt;110 lumens/watt, with Ingress protection IP66, Driver surge protection &gt;10KV, THD&lt;15%, CCT: 3000- 6500K as desired by the department and as per IS, CRI&gt;70, Inbuilt Electricalprotections like Over voltage, short circuit, Over load, Open Circuit, Miswiring, etc complete with BIS certification with 2 years warranty.LUMINAIRE MAKE : Philips  /  Crompton  / Bajaj  / Wipro  LED MAKE : Philips Lumileds / Cree / Nichia / Osram / Samsung / LG LEDs. </t>
  </si>
  <si>
    <t>ELEC-3.5.4-d</t>
  </si>
  <si>
    <t xml:space="preserve">Supply and transportation of 150 W +/-10% (&gt;=15000 Lumens) LED Flood light Luminaire made of pressure die cast aluminum housing with powder coated, having toughened glass cover, Suitable lens on LEDs, IP 66 (Silicon gasket ensures Optical &amp; Electrical compartments are IP 66 ) protected, wide operating voltage range , P.F &gt; 0.90, System having efficacy &gt;110 lumens/watt, with Ingress protection IP66, Driver surge protection &gt;10KV, THD&lt;15%, CCT: 3000- 6500K as desired by the department and as per IS, CRI&gt;70, Inbuilt Electricalprotections like Over voltage, short circuit, Over load, Open Circuit, Miswiring, etc complete with BIS certification 
with 5 years warranty. The contractor has to furnish the manufacturer warranty letter, LM 79 and LM 80 certificates.LUMINAIRE MAKE Philips  /  Crompton  / Bajaj  / Wiprot  LED MAKE : Philips Lumileds / Cree / Nichia / Osram / Samsung / LG LEDs. </t>
  </si>
  <si>
    <t xml:space="preserve">Deduct 30% cost for 2 Years Warrenty </t>
  </si>
  <si>
    <t>Thermo Plastic Box with Switch gear</t>
  </si>
  <si>
    <t>Replacement of old u/s with new Supply and fixing of 200X150X100 thermo plastic pole boxes IP 65 protection.Make : Hensel / Sintex / Sadhrish / EPP or including Supply and Fixing of 1 Nos 6-32A SP mcb 10kA ISI Marked C/D curve SP MCBs with all connections and labour charges etc., complete  for SurfaceMounting of MCB Makes : Legrand-DX3 / Schneider-Acti9.</t>
  </si>
  <si>
    <t>Skilled Electrician. SOR-2025-26 Sl No 5 of cat-I Skiiled Labour rates.</t>
  </si>
  <si>
    <t>Supply of 200X150X100 thermo plastic pole boxes IP 65 protection.</t>
  </si>
  <si>
    <t>ELEC-8.13.1a</t>
  </si>
  <si>
    <t>Make : Hensel / Sintex / Sadhrish / EPP or equivalent</t>
  </si>
  <si>
    <t>Add contractor overheads@10.615%</t>
  </si>
  <si>
    <t>4 Core x 4 Sqmm Armoured Cable</t>
  </si>
  <si>
    <t xml:space="preserve">Rewiring with Supply  and Laying of  4 core 4 Sqmm PVC / XLPE Insulated, Armoured  Copper cable as per IS 7098 / Part-I / 1988 including all transportation charges etc complete of Makes  : Finolex / RR kabel / Havells / Polycab </t>
  </si>
  <si>
    <t xml:space="preserve"> ELEC-1.5.7-o</t>
  </si>
  <si>
    <t>Supply of  4 core 4 Sqmm PVC / XLPE Insulated, Armoured  Copper cable as per IS 7098 / Part-I / 1988 including all transportation charges etc complete of Makes  : Finolex / RR kabel / Havells / Polycab</t>
  </si>
  <si>
    <t>Provisional rate</t>
  </si>
  <si>
    <t xml:space="preserve">Labour for laying </t>
  </si>
  <si>
    <t>50 Sqmm 3.5 core Cable</t>
  </si>
  <si>
    <t>Replacement of old u/s with new Supply  of 50 Sqmm 3.5 Core   XLPE   insulated, 1100V    grade    armoured    alluminium cable with ISI mark as per specification confirming    to    IS:7098    (Part    -    I) Makes : Torrent / Polycab / Havells  / RR kable</t>
  </si>
  <si>
    <t xml:space="preserve"> ELEC-4.1.1 i
</t>
  </si>
  <si>
    <t xml:space="preserve">Supply  of 50 Sqmm 3.5 Core   XLPE   insulated, 1100V    grade    armoured    alluminium cable with ISI mark as per specification confirming    to    IS:7098    (Part    -    I) Makes : Torrent / Unicab / Universal / Polycab / Havells / KEI / RR kable  
</t>
  </si>
  <si>
    <t>Laying of 50 Sqmm Cable</t>
  </si>
  <si>
    <t>24-25 RSD 15.6.3</t>
  </si>
  <si>
    <t xml:space="preserve">Laying of PVC armoured under ground cable 3.5 Core 50 Sqmm  fixing on chromium plated metallic base saddles on wall  as per IS 1255 and as directed by the department including cost and conveyance of all materials and labour charges etc., complete.
</t>
  </si>
  <si>
    <t xml:space="preserve">b) Labour charges  </t>
  </si>
  <si>
    <t>Labour Charges for 100 Mtrs</t>
  </si>
  <si>
    <t>Labour Charges for 1 Mtr</t>
  </si>
  <si>
    <t>a) Material</t>
  </si>
  <si>
    <t>Elec-1.4.4 e</t>
  </si>
  <si>
    <t>Supply of No.8 Screws of 50mm.(SOR-2025-26-Elec-1.4.4 e)</t>
  </si>
  <si>
    <t>Elec-10.4.23.f</t>
  </si>
  <si>
    <t xml:space="preserve">Supply of Saddle / Clamps suitable for fixing 3.5 Core 50 Sqmm Cable (SOR-2025-26 ELEC-10.4.23 f)
</t>
  </si>
  <si>
    <t>Cost of Material for laying of cable  for 100mtr</t>
  </si>
  <si>
    <t>Cost of Material for laying of cable  for 1 mtr</t>
  </si>
  <si>
    <t>Earthwork excavation of UG Cable</t>
  </si>
  <si>
    <t>24-25 RSD 15.6.1</t>
  </si>
  <si>
    <t xml:space="preserve">Earth work excavation of Trench in hard ground soil  upto a depth of 0.9 mts and laying of U.G cables up to 50 sqmm covering the cable with bricks and back filling of Trench including  cost and conveyance of materials and labour charges etc., complete..                                                                                                                                                                                                                                                                                                                           </t>
  </si>
  <si>
    <t>Man Mazdoor -UN-SKILLED CATEGORYSOR-2025-26 III :item Nos 3/4</t>
  </si>
  <si>
    <t xml:space="preserve"> </t>
  </si>
  <si>
    <t>ELEC-10.4.15</t>
  </si>
  <si>
    <t>Earth Work Excavation (ELEC-10.4.15)</t>
  </si>
  <si>
    <t>Cum</t>
  </si>
  <si>
    <t>100 x 0.3 x 0.90 Cu. Mtrs</t>
  </si>
  <si>
    <t>ELEC-10.4.12</t>
  </si>
  <si>
    <t>Bricks  ELEC-10.4.12</t>
  </si>
  <si>
    <t>Cost of Material for laying of cable in trench for 1mtr</t>
  </si>
  <si>
    <t>Cost of Material for laying of cable in trench for 1 mtr</t>
  </si>
  <si>
    <t>35 Sqmm Cable</t>
  </si>
  <si>
    <t xml:space="preserve">Replacement of old u/s with new Supply of 35 Sqmm 3.5 Core XLPE insulated, 1100V grade armoured alluminium cable with ISI mark as per specification confirming to IS:7098 (Part - I) of Makes : Makes :Torrent / Polycab / Havells  / RR kable
</t>
  </si>
  <si>
    <t xml:space="preserve">ELEC-4.1.1h
</t>
  </si>
  <si>
    <t xml:space="preserve">Supply of 35 Sqmm 3.5 Core  XLPE insulated, 1100V grade armoured alluminium cable with ISI mark as per specification confirming to IS:7098 (Part - I) Makes :Makes :Torrent / Polycab / Havells  / RR kabl  </t>
  </si>
  <si>
    <t>25 Sqmm Cable</t>
  </si>
  <si>
    <t xml:space="preserve">Replacement of old u/s with new Supply of 25 Sqmm 3.5 Core XLPE insulated, 1100V grade armoured alluminium cable with ISI mark as per specification confirming to IS:7098 (Part - I) of Makes :Makes :Torrent / Polycab / Havells  / RR kable  </t>
  </si>
  <si>
    <t xml:space="preserve">ELEC-4.1.1g
</t>
  </si>
  <si>
    <t xml:space="preserve">Supply of 25 Sqmm 3.5 Core  XLPE insulated, 1100V grade armoured alluminium cable with ISI mark as per specification confirming to IS:7098 (Part - I) of Makes : Makes :Torrent / Polycab / Havells  / RR kabl  
</t>
  </si>
  <si>
    <t>Laying of 35 &amp; 25 Sqmm Cable</t>
  </si>
  <si>
    <t xml:space="preserve">Laying of PVC armoured under ground cable 3.5 Core 25&amp;35 Sqmm  fixing on chromium plated metallic base saddles on wall  as per IS 1255 and as directed by the department including cost and conveyance of all materials and labour charges etc., complete.
</t>
  </si>
  <si>
    <t>Elec-1.4.4 d</t>
  </si>
  <si>
    <t>Supply of No.8 Screws of 35mm.</t>
  </si>
  <si>
    <t xml:space="preserve">Elec-10.4.23 d
</t>
  </si>
  <si>
    <t xml:space="preserve">Supply of Saddle / Clamps suitable for fixing 3.5 Core 25&amp;35 Sqmm Cable.
</t>
  </si>
  <si>
    <t>8 Way VTPN DB</t>
  </si>
  <si>
    <t xml:space="preserve">Replacement of old u/s with new Supply    of    8 Way VTPN DB with IP 43 Protection as per IS:13032 and suitable for  accommodating 8 Nos 63 A  T.P. MCBs  as  out goings and 125A 4 pole MCCB as Incomer   with   250   A   tinned   copper busbar,   neutral   bar,   earth   bar   and cable ties for cable management, fully shrouded  neutral  bar,  profile  blanking modules for unused MCB ways, din bars and   detachable   gland   plate       etc complete    with    inter    connections. Makes : Legrand / Schneider / Siemens
</t>
  </si>
  <si>
    <t>ELEC-2.17.3-c</t>
  </si>
  <si>
    <t>Supply    of    8 Way VTPN DB with IP 43 Protection as per IS:13032 and suitable for  accommodating 8 Nos 63 A  T.P. MCBs  as  out goings and 125A / 160A 4 pole MCCB as Incomer   with   250   A   tinned   copper busbar,   neutral   bar,   earth   bar   and cable ties for cable management, fully shrouded  neutral  bar,  profile  blanking modules for unused MCB ways, din bars and   detachable   gland   plate       etc complete    with    inter    connections. Makes : Legrand / Schneider / Siemens</t>
  </si>
  <si>
    <t>ELEC-2.8.1-d</t>
  </si>
  <si>
    <t xml:space="preserve">Supply of  125A 4 Pole MCCB Adjustable,    Confirms    to    IS/IEC 60947-2 having Breaking Capacity 25 kA     with     thermal     magnetic release             Panel             Mounted. Makes  :  Schneider-NS NSX/Legrand   -DP   X3/   Siemens-3V </t>
  </si>
  <si>
    <t>ELEC-2.14.1 -i</t>
  </si>
  <si>
    <t>Supply of  50-63 A TP MCB 10 kA, C/D Curve ISI Mark. Makes : Legrand-DX3 / Schneider-Acti9/ Siemens</t>
  </si>
  <si>
    <t>3 Core x 2.5 Sqmm Armoured Cable</t>
  </si>
  <si>
    <t xml:space="preserve">Rewiring with  Supply and Laying of  6.0 Sqmm  4 Core  PVC / XLPE Insulated, Armoured  Copper cable as per IS 7098 / Part-I / 1988 including all transportation charges etc complete of Makes  : Finolex / RR kabel / Havells / Polycab
</t>
  </si>
  <si>
    <t xml:space="preserve"> ELEC-1.5.7-p</t>
  </si>
  <si>
    <t>Supply of  6.0 Sqmm  4 Core  PVC / XLPE Insulated,  Armoured  Copper cable as per IS 7098 / Part-I / 1988 including all transportation charges etc complete of Makes  : Finolex / RR kabel / Havells / Polycab / RPG / KEI / Gloster / V-Guard / Finecab / SPM/ Gemini / Unistar / Windsor /  Payal /  Fortune Arrt  /  Avocab  /  Nakoda  /  HPL  /  Sudhakar  /
Bonton  /  Rajnigandha    /  Pawancab    /  South King.</t>
  </si>
  <si>
    <t xml:space="preserve">Replacement of old u/s with new Supply and fixing of 8 Way SPN DB with IP  43 Protection as per IS:13032 including Supply and Fixing of  1 No 50-63A 10KA FP MCB and 4 Nos 6-32A 10kA ISI Marked C/D curve SP MCBs with all connections and labour charges etc., complete  for flush Mounting/Surface .                                                                                                                                                                                                        DBMakes :Legrand / Schneider / Siemens / LK / Havells Stadx / ABB / BCH 
MCB Makes :  Legrand-DX3/ Schneider-Acti9 / Siemen 
</t>
  </si>
  <si>
    <t>ELEC-2.14.1 -L</t>
  </si>
  <si>
    <t xml:space="preserve">Supply of 50-63A 10KA FP MCB, C/D Curve ISI Mark of make  Legrand-DX3/ Schneider-Acti9 / Siemen </t>
  </si>
  <si>
    <t xml:space="preserve">Supply of 6-32A 10KA SP MCB, C/D Curve ISI Mark of make    Legrand-DX3/ Schneider-Acti9 / Siemen </t>
  </si>
  <si>
    <t>Labour charges for dressing and rectification of cables</t>
  </si>
  <si>
    <t>Labour charges for dressing of electrical cables ,internet cables and rectification of the existing fixtures and circuits</t>
  </si>
  <si>
    <t>SOR 2025-26</t>
  </si>
  <si>
    <t xml:space="preserve"> Labour Charges</t>
  </si>
  <si>
    <t>Cat 6 Cable</t>
  </si>
  <si>
    <t>Supply of LAN Cable cat - 6 UTP cable.
Makes : D Link / AMP / Molex / Legrand / Krone.</t>
  </si>
  <si>
    <t>ELEC-9.1.3A</t>
  </si>
  <si>
    <t>Total rate</t>
  </si>
  <si>
    <t>Data 47</t>
  </si>
  <si>
    <t>8 Port D-Link</t>
  </si>
  <si>
    <t xml:space="preserve">Data </t>
  </si>
  <si>
    <t xml:space="preserve">Supply and fixing of  8 Port 10 / 100 / 1000 Gigabit Unmanageable Ethernet switch. Makes : TP Link / D link / Netfox. </t>
  </si>
  <si>
    <t>ELEC-9.1.7.C</t>
  </si>
  <si>
    <t>Supply and fixing of 8 Port D-Link DGS-1008A 8-Port Gigabit Easy Desktop Switch (White) of Makes : D link including all connections. (Approved rate from MRC Qtrs)</t>
  </si>
  <si>
    <t xml:space="preserve"> 3 feet length moulded patch cord.</t>
  </si>
  <si>
    <t>Supply of 3 feet length moulded patch cord.
Makes : D Link / Legrand /TP link/Digisol.</t>
  </si>
  <si>
    <t>ELEC-9.1.10b</t>
  </si>
  <si>
    <t>Supply and installation  of  6U wall   600 mm width x 500 mm depth UL certified wall mounting net work rack with sheet steel revited metal frame, top and bottom cover with brush cable entry, confirming to following standards IEC 60529, EN 60529 ( IP 20), IEC 62262 EN 62622 (IK 08) , DIN 41494, EIA 310, IEC 60927 including all accessories like horizontal PDU, metal cable manager, hardware packet and the cantilever shelf etc., complete. Makes : Vallrack (Legrand) / Netrack.</t>
  </si>
  <si>
    <t>ELEC-9.1.16</t>
  </si>
  <si>
    <t>Rg-6 Cable</t>
  </si>
  <si>
    <t>NA SD</t>
  </si>
  <si>
    <t xml:space="preserve">Supply and  Run of 1 of RG-6 Cu flexible ISI mark coaxial foarmed cable in existing pipe for TV's inlcuding all labour charges etc., complete of make Finolex/ RR Kable </t>
  </si>
  <si>
    <t xml:space="preserve"> Pricelist</t>
  </si>
  <si>
    <t>Supply of of 1 of RG-6 Cu flexible ISI mark coaxial foarmed cable
make Finolex/ RR Kable (Approved rate from MRC Qtrs)</t>
  </si>
  <si>
    <t>Information Outlets</t>
  </si>
  <si>
    <t xml:space="preserve">Supply  and fixing of  Cat 6 RJ-45 information outlets including -single  face plate on modular box with cover frame in existing surface / consealed pipe wiring including cost and coveyance of all material and all labour charges etc., complete in R.B                                                                                                                                                                                                                                                                                                                                                                                                                                                                                                                                                                                                                                                                                                                                                                                                                        Makes : D Link / AMP / Molex / Legrand / Krone.
</t>
  </si>
  <si>
    <t>Elec-1.3.1-a</t>
  </si>
  <si>
    <t>Supply of 1 or 2 Module box.</t>
  </si>
  <si>
    <t>ELEC-1.3.4.a</t>
  </si>
  <si>
    <t>Supply of 1 or 2  Modular Cover Frame</t>
  </si>
  <si>
    <t xml:space="preserve">Makes  Legrand Lyncus / GM Four Five / Goldmedal Curve / Million Milltech / Anchor Roma Plus
</t>
  </si>
  <si>
    <t>ELEC-9.1.5.b</t>
  </si>
  <si>
    <t xml:space="preserve">Supply of Cat 6 RJ-45 information outlets including -Single face plate of
Makes : D Link / AMP / Molex / Legrand / Krone.
</t>
  </si>
  <si>
    <t xml:space="preserve"> Modular co-Axial socket type TV </t>
  </si>
  <si>
    <t>Supply and fixing of Modular co-Axial socket type TV Antenna outlet on modular box with cover frame in existing surface / consealed pipe wiring including cost and coveyance of all material and all labour charges etc., complete in R.B                                                                                                                                                                                                                                                                                                                                                                                                                                                                                                                                                                                                                                                                                                                                                                                                                        Makes :  Legrand Lyncus / GM Four Five / Goldmedal Curve / Million Milltech / Anchor Roma Plus</t>
  </si>
  <si>
    <t>ELEC-1.3.1.a</t>
  </si>
  <si>
    <t>Supply of 1 or 2 Module box. SOR-2025-26</t>
  </si>
  <si>
    <t>Supply of 1 or 2  Modular Cover Frame.SOR-2025-26()</t>
  </si>
  <si>
    <t xml:space="preserve">Makes : Legrand Lyncus / GM Four Five / Goldmedal Curve / Million Milltech / Anchor Roma Plus
</t>
  </si>
  <si>
    <t>ELEC-1.9.2 p</t>
  </si>
  <si>
    <t xml:space="preserve">Supply of Modular co-Axial socket type  TV Antenna outlet.
 Makes  :  Legrand Lyncus / GM Four Five / Goldmedal Curve / Million Milltech / Anchor Roma Plus
</t>
  </si>
  <si>
    <t xml:space="preserve">Patch panel </t>
  </si>
  <si>
    <t xml:space="preserve">Supply and fixing of unloaded 24 port patch panel with IO separate Makes : Digisol / TP Link / D link. / Legrand </t>
  </si>
  <si>
    <t>ELEC-9.1.11</t>
  </si>
  <si>
    <t>1.8/2.0 TR Split AC's</t>
  </si>
  <si>
    <t>NA-SD</t>
  </si>
  <si>
    <t>Replacement of old u/s with new Supply,Transportation,Installation testing and commissioning of INVERTER Model Cool type split AC unit 2.0/1.8 TR  5 Star capable of delivering 21600 BTU/hr and above with operating on refrigerant R-32 / R-410  Makes :   Daikin / Toshibha / Carrier / 
Blue Star / Hitachi / LG / Samsung / Lloyd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</si>
  <si>
    <t>ELEC-6.1.1-d</t>
  </si>
  <si>
    <t>Supply,Transportation,Installation testing and commissioning of INVERTER Model Cool type split AC unit 2.0/1.8 TR  5 Star capable of delivering 21600 BTU/hr and above with operating on refrigerant R-32 / R-410  Makes :  Daikin / Toshibha / Carrier / Blue Star / Hitachi / LG / Samsung / Lloyd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</si>
  <si>
    <t>ELEC-6.7.28</t>
  </si>
  <si>
    <t>Installation of Split Air Conditioners.</t>
  </si>
  <si>
    <t>ELEC-6.7.1</t>
  </si>
  <si>
    <t>Supply, Fabrication of 1set MS bracket suitable for fixing out door unit of split AC Unit.</t>
  </si>
  <si>
    <t>Cost &amp; installation of Unit</t>
  </si>
  <si>
    <t>1.5 TR Split AC's</t>
  </si>
  <si>
    <t>Replacement of old u/s with new Supply,Transportation,Installation testing and commissioning of INVERTER Model Cool type split AC unit 1.5 TR  5 Star capable of delivering 18000 BTU/hr and above with operating on refrigerant R-32 / R-410  Makes :   Daikin / Toshibha / Carrier / Blue Star / Hitachi / LG / Samsung / Lloyd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</si>
  <si>
    <t>ELEC-6.1.1-b</t>
  </si>
  <si>
    <t>Supply,Transportation,Installation testing and commissioning of INVERTER Model Cool type split AC unit 1.5 TR  5 Star capable of delivering 18000 BTU/hr and above with operating on refrigerant R-32 / R-410  Makes :   Daikin / Toshibha / Carrier / Blue Star / Hitachi / LG / Samsung /Lloyd or equivalent with high wall mounted Single Split indoor unit and outdoor condencing unit Hermetically sealed compressor suitable for operation on 230V, 50Hz, 1Phase AC supply capable of performing Heat cool dehumidifying air circulating and filtering with cooling and condensing units with 3.5 mts of copper piping, insulation kit and 4 mts of 4 core copper flexible chord (Voltage range 160- 264 volts) and cordless remote control with warranty of compressor for 5 years including MS bracket / MS angle iron stand with pads suitable for fixing out door unit of split AC unit with Warranty and CMC for Two years.</t>
  </si>
  <si>
    <t xml:space="preserve">Copper Pipe
</t>
  </si>
  <si>
    <t>Replacement of old u/s with new Providing Additional 2 runs of 3/4" x 3/8" or 5/8" x 1/4" or 1/2"x 1/4" Copper tubes for suction and liquid between indoor and outdoor unit suitable size for Split Air-Conditioner including foaming, wrapping etc.,complete</t>
  </si>
  <si>
    <t xml:space="preserve"> ELEC-6.7.2-a</t>
  </si>
  <si>
    <t>Providing Additional 2 runs of 3/4" x 3/8" or 5/8" x 1/4" or 1/2"x 1/4" Copper tubes for suction and liquid between indoor and outdoor unit suitable size for Split Air-Conditioner including foaming, wrapping etc.,complete.</t>
  </si>
  <si>
    <t>4.0 Sqmm  4 Core</t>
  </si>
  <si>
    <t>25 Sqmm Laying Half Labour Charges</t>
  </si>
  <si>
    <t xml:space="preserve">Rewiring with Supply and Laying of   4.0 Sqmm  4 CoreP PVC / XLPE Insulated Sheathed Multi Core Bright Annealed Bare Copper Conductor Heavy Duty Industrial Cables for Voltage Grade upto 1100 Volts as per IS: 694:2010 includingalltransportation charges etc complete. Makes : Finolex / RR kabel / Havells / Polycab / RPG / KEI / Gloster / V-Guard / Finecab / SPM / Gemini / Unistar / Windsor / Payal / Fortune Arrt / Avocab / Pawancab / Nakoda / HPL / Sudhakar / Bonton / Rajnigandha  </t>
  </si>
  <si>
    <t>ELEC-1.5.5-u</t>
  </si>
  <si>
    <t xml:space="preserve">Supply of 4.0 Sqmm  4 CoreP PVC / XLPE Insulated Sheathed Multi Core Bright Annealed Bare Copper Conductor Heavy Duty Industrial Cables for Voltage Grade upto 1100 Volts as per IS: 694:2010 includingalltransportation charges etc complete. Makes : Finolex / RR kabel / Havells / Polycab / RPG / KEI / Gloster / V-Guard / Finecab / SPM / Gemini / Unistar / Windsor / Payal / Fortune Arrt / Avocab / Pawancab / Nakoda / HPL / Sudhakar / Bonton / Rajnigandha </t>
  </si>
  <si>
    <t>Total Material and Labour charges for 1 mts</t>
  </si>
  <si>
    <t>CPVC Pipe</t>
  </si>
  <si>
    <t>Replacement of old u/s with new Supply, installation, testing and commissioning of the drain line with CPVC pipes of premium make of 28.60mm OD Pipe- SDR 13.5.</t>
  </si>
  <si>
    <t>TBSP-J.III-03</t>
  </si>
  <si>
    <t>Supply of premium make CPVC Pipes of 28.60mm OD Pipe- SDR 13.5.</t>
  </si>
  <si>
    <t>Core Cuttting</t>
  </si>
  <si>
    <t xml:space="preserve">Making core cutting to existing wall and chipping to the existing wall for providing drain piping and copper piping for providing new air conditioners units including all labour charges etc complete. </t>
  </si>
  <si>
    <t>Approved rate</t>
  </si>
  <si>
    <t>Making core cutting to existing wall and chipping to the existing wall for providing drain piping and copper piping for providing new air conditioners units including all labour charges etc complete. (Approved Rate MRC Qtr No 4)</t>
  </si>
  <si>
    <t>EPABX System</t>
  </si>
  <si>
    <t xml:space="preserve">IP Based digtal Telephone (EPABX) system complied with following 
specifications:                                                                                     
 &gt; IP @ Core, PCM/TDM, Non blocking,                               
 &gt; Must Support PRI, E1, Analog Junctions                                                        
 &gt; Must Support PC Console,                                                 
&gt; Must support Mobile SIP (Android and I.O.S)                      
 &gt; Must support Voice Mail                               
 &gt; Must support Card based GSM                                                                                            
&gt; Inbuilt Call Details Software with 
search engine software    
 &gt; 4 Analog Trunks                                                                     
&gt; 6 Digital Extensions                                                            
 &gt; 32 Analog Extensions                                                                  
 &gt; 1 Digital Key Phone with minimum 16 Keys   (Must work only on 2 wires)                                                                  
&gt; Expandable to 64 Analog Extensions or more                                                                                                   
Makes: NEC / Alcatel  </t>
  </si>
  <si>
    <t>Elec-9.3.1</t>
  </si>
  <si>
    <t>Digital Key Telephone with 2 line display</t>
  </si>
  <si>
    <t xml:space="preserve">Digital Key Telephone with 2 line display, 10 programmable keys, handsfree dialing. </t>
  </si>
  <si>
    <t>ELEC-9.4.13</t>
  </si>
  <si>
    <t>10pair Telephone distribution box</t>
  </si>
  <si>
    <t>SD-NA</t>
  </si>
  <si>
    <t xml:space="preserve">Supply and installation of  10pair Telephone distribution box with back mount frame, krone connector, powder coated metal body with lock and key arrangement. 
</t>
  </si>
  <si>
    <t>Elec-9.1.2-b</t>
  </si>
  <si>
    <t xml:space="preserve">"Supply of  20pair Telephone distribution box with back mount frame, krone connector, powder coated metal body with lock and key arrangement. </t>
  </si>
  <si>
    <t>a)Labour for installation (derived from agreement approved rate EE(Gl) Agt No.82/2025-26 Dt.09.07.2019</t>
  </si>
  <si>
    <t>Job</t>
  </si>
  <si>
    <t>Caller ID Pushbutton Telephone instruments</t>
  </si>
  <si>
    <t xml:space="preserve">Supply and installation of Caller ID Pushbutton Telephone instruments
Make: Beetel </t>
  </si>
  <si>
    <t>EE(Gl) Agreement rate</t>
  </si>
  <si>
    <t>Supply and installation of Caller ID Pushbutton Telephone instruments           Make: Beetel (Approved rate from MRC Qtrs)</t>
  </si>
  <si>
    <t>2Port Line Protection Unit</t>
  </si>
  <si>
    <t>Supply and installation of 2Port Line Protection Unit of Make: Crystla</t>
  </si>
  <si>
    <t>Supply and installation of 2Port Line Protection Unit of Make: Crystla (Approved rate from MRC Qtrs)</t>
  </si>
  <si>
    <t>Supply and installation  of   6U 600 mm width x 500 mm depth UL certified wall mounting net work rack with sheet steel revited metal frame, top  and  bottom  cover  with  brush  cable  entry, confirming  to  following  standards  IEC  60529, EN  60529  (  IP  20),  IEC  62262  EN  62622  (IK08) , DIN 41494, EIA 310, IEC 60927 including all accessories like horizontal PDU, metal cable manager,  hardware  packet  and  the  cantilevershelf  etc., complete. Makes : Vallrack (Legrand) / Netrack.</t>
  </si>
  <si>
    <t>ELEC-9.1.16 a</t>
  </si>
  <si>
    <t>Supply and installation  of   6U  600 mm width x 500 mm depth UL certified wall mounting net work rack with sheet steel revited metal frame, top  and  bottom  cover  with  brush  cable  entry, confirming  to  following  standards  IEC  60529, EN  60529  (  IP  20),  IEC  62262  EN  62622  (IK
08) , DIN 41494, EIA 310, IEC 60927 including all accessories like horizontal PDU, metal cable manager,  hardware  packet  and  the  cantilevershelf  etc., complete. Makes : Vallrack (Legrand) / Netrack.</t>
  </si>
  <si>
    <t>Add OH @10.615%</t>
  </si>
  <si>
    <t xml:space="preserve"> Modular telephone Jack with connector</t>
  </si>
  <si>
    <t xml:space="preserve">supply  and fixing of Modular telephone Jack with connector on modular box with cover frame in existing surface / consealed pipe wiring including cost and coveyance of all material and all labour charges etc., complete in R.B                                                                                                                                                                                                                                                                                                                                                                                                                                                                                                                                                                                                                                                                                                                                                                                                                                             Makes : :Legrand Lyncus / GM Four Five / Goldmedal Curve / Million Milltech / Anchor Roma Plus
</t>
  </si>
  <si>
    <t xml:space="preserve">Supply of 1 or 2 Module box </t>
  </si>
  <si>
    <t>Supply of 1 or 2  Modular Cover Frame.</t>
  </si>
  <si>
    <t xml:space="preserve">Makes : Legrand Lyncus / GM Four Five / Goldmedal Curve / Million Milltech / Anchor Roma Plus
</t>
  </si>
  <si>
    <t>ELEC-1.9.2.o</t>
  </si>
  <si>
    <t xml:space="preserve">Supply of  Modular socket type Telephone jack with Connector. Legrand Lyncus / GM Four Five / Million Milltech / Goldmedal Curve / Anchor Roma Plus / Crabtree Verona / Panasonic Vision / Hager Insista / Benlo Vesta / Polycab Levana / Salzar Elite / Elleys E-Soft  / Fybros Four-X 
</t>
  </si>
  <si>
    <t>UPS</t>
  </si>
  <si>
    <t xml:space="preserve"> Supply, Transportation and installation of  5 KVA, 192 / 240V DC true on line UPS system IGBT technology  pure sine wave out put, with   double conversion with auto and manual static by pass switch single phase input / Single phase output. Makes: Numeric / Emerson / Fuji Electric </t>
  </si>
  <si>
    <t>ELEC-13.1.2.d</t>
  </si>
  <si>
    <t>Sub total 1</t>
  </si>
  <si>
    <t>BATTERY</t>
  </si>
  <si>
    <t>Supply and fixing of 12V 26 AH   SMF battery including wire leads. Makes : Quanta / Racket / Exide / Amaron.</t>
  </si>
  <si>
    <t>ELEC-13.2..2.a</t>
  </si>
  <si>
    <t>BATTERY RACK</t>
  </si>
  <si>
    <t xml:space="preserve">Supply and providing of UPS cum battery rack 11 to 20 batteries </t>
  </si>
  <si>
    <t>ELEC-13.2..1.c</t>
  </si>
  <si>
    <t>DG SET</t>
  </si>
  <si>
    <t>ELEC 12.1.1 f</t>
  </si>
  <si>
    <t>Supply,  Transportation,  erection  and commissioning  (Excluding  Foundation) of  3  Phase,  415,  50Hz,  water  cooled multi cylinder diesel generator set with alternator of 40 KVA/ 32  KW out put  continuous  rating  directly  coupled Engine,    Alternator  and  radiator  with guard and mounted on a common base frame   of   Robust   construction   and complete  with  standard  control  panel having  IP-52  protection,  anti  vibration mounts   of   reputed   make,   Acoustic Enclosure as per CPCB norms IV, sound absorbing  material    to  restrict  sound level up to 75 dB up to 1 mtr distance and    etc     as    per    the     following
specifications mentioned.</t>
  </si>
  <si>
    <t>A.  Alternator  :  Kirloskar  /  Stamford  / Crompton  Greaves  /  Leroy  Somer  make. The  alternator  of  the  output  rating  shall be  3  Phase,  415V,  50Hz,  Ac  ,  0.8  P.F. lagging at 1500 RPM. The alternator is self excited,  self  regulated,  and  shall  confirm to IS: 13364 of 1992 with regulation of +5% from   no   load   to   full   load.   degree   of protections shall be IP23.</t>
  </si>
  <si>
    <t>B.Diesel  Engine  :  Kirloskar  /  Cummins  /
Mahindra  &amp;  Mahindra  /  Greaves  Cotton  / Eicher / Ashok Leyland Diesel Engine start, developing     suitable  BHP output  at  1500  RPM  with  mechanical  / electronic  governing  so  as  to  enable  the alternator to give   40 KVA continuous output    at    0.8    P.F.    lagging    at    NTP conditions.   The   diesel   engine   shall   be capable of providing 10% O/L for 1 Hr for every 11 Hrs of continuous running at full load. The engine with 1st filling of oil and Diesel                                                  etc.
01.  Exhaust  pipe  of  required  size  as  per the                                            standards.
02. Diesel tank suitable  for 8 to 12 Hours running                                       capacity.
03.               Residential               Silencer.
04.  SMF  Batteries  with  leads   as  per  the Manufacturer standards</t>
  </si>
  <si>
    <t>40 KVA, 3 Phase, 415, 50 Hz, 56  BHP, water   cooled   multy   cylinder   diesel generator set with alternator of 40 KVA output  continious  rating  at  0.8  p.f. Batteries.</t>
  </si>
  <si>
    <t>Changeover with Enclosure</t>
  </si>
  <si>
    <t>Replacement of old u/s with new Supply and fixing  of 125 A 4 Pole Change Over Switch  on  Load  with  open  Execution with enclosure Makes : Socomec /  LK</t>
  </si>
  <si>
    <t>Material:-</t>
  </si>
  <si>
    <t>ELEC 2.2.1 B</t>
  </si>
  <si>
    <t>Supply of 125 A 4 Pole Change Over Switch  on  Load  with  open  Execution. Makes : Socomec /  LK</t>
  </si>
  <si>
    <t>EB Metering Equipment:-</t>
  </si>
  <si>
    <t>ELEC-8.17.6-b</t>
  </si>
  <si>
    <t xml:space="preserve">Supply and erection of RYB LED indicator lamps on the existing box / panel board of Makes :LK  /  / SALZAR / HPL  / Siemens </t>
  </si>
  <si>
    <t>ELEC-8.17.1.A</t>
  </si>
  <si>
    <t>Supply and erection of 0-500V  Digital Volt   meter   on exisiting  panel board including connections etc., complete. MAKES :CONZERVE / ELMEASURE / LK  / SEIMENS.</t>
  </si>
  <si>
    <t>ELEC-8.17.2.A</t>
  </si>
  <si>
    <t>Supply and erection of 0-100 / 200 / 400 / 600 /1000 Digital Ammeter of size 96x96mm on existing panel board including connections etc., complete.MAKES : CONZERVE / ELMEASURE / LK  / SEIMENS.</t>
  </si>
  <si>
    <t>ELEC-8.17.6-A</t>
  </si>
  <si>
    <t xml:space="preserve"> 
Supply and erection of Selector switch for Voltmeter / 
Ammeter on the existing panel including connections etc., complete.  -Makes : LK  /  / SALZAR / HPL  / Siemens </t>
  </si>
  <si>
    <t>ELEC-8.17.7</t>
  </si>
  <si>
    <t>Supply and erection of LT current transformer with bar primary 100/5A to 1000 / 5A ratio in the existing  panel including connections etc., complete. MAKE : KAPPA</t>
  </si>
  <si>
    <t>SUB-TOTAL 1</t>
  </si>
  <si>
    <t>Fabrication  of cubical panel board made out of 14 gauge out frame and  16 gauge partitions and base channel, bus bars (0.8 A / sq mm) etc., complete with locks, door lopp earthing etc.,  @ 35%</t>
  </si>
  <si>
    <t xml:space="preserve">Sub Total </t>
  </si>
  <si>
    <t xml:space="preserve">Add Overhead @ 10.6150% </t>
  </si>
  <si>
    <t>12 " Metallic Exhaust Fan for Kitchen</t>
  </si>
  <si>
    <t>6 " Shutter type Exhaust Fan for Bathrooms</t>
  </si>
  <si>
    <t xml:space="preserve">Replacement of old u/s with new Supply  of    6" (150mm)Ventilating  exhaust  fan  with  shutters etc  complete  for living rooms / office roomsMakes : Crompton  / Havells    Ventilair    DX    /    Orient 
</t>
  </si>
  <si>
    <t>ELEC-5.1.12 a</t>
  </si>
  <si>
    <t xml:space="preserve">Supply  of    6" (150mm)Ventilating  exhaust  fan  with  shutters etc  complete  for living rooms / office roomsMakes : Crompton  / Havells    Ventilair    DX    /    Orient </t>
  </si>
  <si>
    <t xml:space="preserve">WPTC 10 Sq.mm </t>
  </si>
  <si>
    <t>Rewiring with  Supply  of  10 Sq.mm  WPTC  (Weather Proof  Twin  Core)  ISI  mark  Alluminium Wire.
Makes  :  Polycab  /   V- Guard / HPL/  Finecab   / Pawancab</t>
  </si>
  <si>
    <t>ELEC-1.6.2-B</t>
  </si>
  <si>
    <t>Supply  of  10 Sq.mm  WPTC  (Weather Proof  Twin  Core)  ISI  mark  Alluminium Wire.
Makes  :  Polycab  /   V- Guard / HPL/  Finecab   / Pawancab</t>
  </si>
  <si>
    <t xml:space="preserve"> 10W LED Bulk  head  fitting</t>
  </si>
  <si>
    <t xml:space="preserve">   Data</t>
  </si>
  <si>
    <t>Replacement of old u/s with new Supply and transportation of   10W LED Bulk  head  fitting  with  milky  diffuser heat sink integrated with housing with all  accessories  etc  complete  with  5 years     warranty     warranty.LUMINAIRE MAKE    :    PHILIPS    /    CROMPTON    LED  MAKE  :  Philips  Lumileds  /  Cree  / Nichia / Osram / Samsung / LG LEDs.</t>
  </si>
  <si>
    <t>ELEC-3.5.8</t>
  </si>
  <si>
    <t xml:space="preserve"> Supply and transportation of   10W LED Bulk  head  fitting  with  milky  diffuser heat sink integrated with housing with all  accessories  etc  complete  with  5 years     warranty     warranty.LUMINAIRE MAKE    :    PHILIPS    /    CROMPTON    LED  MAKE  :  Philips  Lumileds  /  Cree  /
Nichia / Osram / Samsung / LG LEDs.</t>
  </si>
  <si>
    <t>6.0 Sqmm  4 Core</t>
  </si>
  <si>
    <t xml:space="preserve">Rewiring with Supply and Laying of   6.0 Sqmm  4 CoreP PVC / XLPE Insulated Sheathed Multi Core Bright Annealed Bare Copper Conductor Heavy Duty Industrial Cables for Voltage Grade upto 1100 Volts as per IS: 694:2010 includingalltransportation charges etc complete. Makes : Finolex / RR kabel / Havells / Polycab / RPG / KEI </t>
  </si>
  <si>
    <t>ELEC-1.5.5-v</t>
  </si>
  <si>
    <t xml:space="preserve">Supply of 6.0 Sqmm  4 CoreP PVC / XLPE Insulated Sheathed Multi Core Bright Annealed Bare Copper Conductor Heavy Duty Industrial Cables for Voltage Grade upto 1100 Volts as per IS: 694:2010 includingalltransportation charges etc complete. Makes : Finolex / RR kabel / Havells / Polycab / RPG / KEI / Gloster / V-Guard / Finecab / SPM / Gemini / Unistar / Windsor / Payal / Fortune Arrt / Avocab / Pawancab / Nakoda / HPL / Sudhakar / Bonton / Rajnigandha </t>
  </si>
  <si>
    <t>1.50 HP Monoblock</t>
  </si>
  <si>
    <t>Repalcement of u/s with new Supply and Transportation of 1.5 HP (32x25mm) Single phase ISI Mono block CI body motor                                    pumpset including starter and all labour charges.
Makes:    Texmo    /    CRI    /    KSB    / Aryenvarsha / Lubi / Falcon</t>
  </si>
  <si>
    <t>Supply and Transportation of 1.5 HP (32x25mm) Single phase ISI Mono block CI body motor                                    pumpset.
Makes:    Texmo    /    CRI    /    KSB    / Aryenvarsha / Lubi / Falcon</t>
  </si>
  <si>
    <t>Supply &amp; Fixing of D.O.L Starter 250V, Single  phase,  50Hz.  With  Sheet  Steel enclouser comprising of contactor  with bi-metalic     relay     with     neceSheet Steelary  push  buttons,  etc.,  complete suitable                                      upto 3 H.P 
Makes: Siemens / LK  / BCH</t>
  </si>
  <si>
    <t>LED Strip 28W</t>
  </si>
  <si>
    <t>24-25 RSD 8.1.2</t>
  </si>
  <si>
    <t xml:space="preserve">Replacement of old damaged by new supply and fixing of LED Strip 28W 5mtrs Lenth  philips as desired by the department and as per IS,inlcuding all labour charges etc., complete </t>
  </si>
  <si>
    <t>Skilled Electrician. SOR-2024-25 Sl No 5 of cat-I Skilled Labour rates.</t>
  </si>
  <si>
    <t>Helper. SOR-2024-25 Sl No 34 of Cat-II  Semi skilled Labour rates.</t>
  </si>
  <si>
    <t>AR</t>
  </si>
  <si>
    <t xml:space="preserve">Supply  of LED Strp 28W 5mtrs Lenth of make philips (Approved rate from MRC Qtrs) 
</t>
  </si>
  <si>
    <t>Casing And Capping 25 mm</t>
  </si>
  <si>
    <t>Replacement of old damaged by new supply of  25mm x 12 mm and thickness 1.2 mm width  and height Casing and  Caping  with  all  accessories  such  as  Ts, Bends, Elbows etc., complete for finished item of                                                                work.
Makes : Modi with ISI or its equivalent make as approved by the department</t>
  </si>
  <si>
    <t xml:space="preserve">Makes : Sudhakar / Finolex / Modi / VIP / Precision / Universal / Million Plast / Gold / Polycab / DEC
</t>
  </si>
  <si>
    <t>Semi skilled Electrician / Helper. SOR-2024-25 Sl No 34 of  cat-II Semi skilled Labour rates.</t>
  </si>
  <si>
    <t>Rawl Plugs. (SOR-2024-25- ELEC-10.1.2)</t>
  </si>
  <si>
    <t>Supply of No.8 Screws of 35/38mm. (SOR-2024-25 ELEC-1.4.4-d)</t>
  </si>
  <si>
    <t>Elec 1.2.5 b</t>
  </si>
  <si>
    <t>LT Panel (1 No I/C 400A MCCB &amp; 10 Nos O/G 125 A MCCB)</t>
  </si>
  <si>
    <t xml:space="preserve">Replacement of old  u/s with new Supply, Fabrication,transpotation, Erection, testing and  Commissioing of  conventional LT Panel suitable for 415V, 3 Phases, 4wire, 50Hz AC Supply system fabricated in comparmentalized design with  CRCA sheet steel of 1.6mm thick from frame work and covers, 2mm CRCA thick for gland plate including cleaning and finishing complete with seven tank process for powder coating  approved shade having busbar 500A capacity equal in size for phase and neutral, extensible type FP alluminum alloy busbars of high conductivity, DMC/SMC/Busbar supports with shortcircuit withstand capacity of 35/36KA for 1 sec,  preventing access to live parts as per type tested Replacement of old  u/s with new bottom based channel of suitable size, fabrication done in transportable section, entire panel shall have a common suitable GI earth continuous bar at rear side with 2Nos earth stud, solid connections from main Busbar to switchgears with required size of alumium busbars with control wiring, etc complete with providing following switchgears                                                     </t>
  </si>
  <si>
    <t xml:space="preserve">Incoming </t>
  </si>
  <si>
    <t>(ELEC-2.8.1-j)</t>
  </si>
  <si>
    <t xml:space="preserve">Supply of 400A 4 Pole MCCB, Adjustable, Confirms to IS/IEC 60947-2 having Breaking Capacity 35 / 36 kA with thermal magnetic release Panel Mounted.
Makes : LK (L&amp;T) - D sine / Schneider-NS NSX/Legrand -DP X3/ Siemens-3V </t>
  </si>
  <si>
    <t>Nos.</t>
  </si>
  <si>
    <t>(ELEC-2.11.3-h)</t>
  </si>
  <si>
    <t>﻿Supply and Transportation of spreader links of 400A 4 pole</t>
  </si>
  <si>
    <t>Set</t>
  </si>
  <si>
    <t>(ELEC-2.11.4-c)</t>
  </si>
  <si>
    <t>﻿Supply and Transportation of Rotary Handles of 400A</t>
  </si>
  <si>
    <t>ELEC- 8.17.1 - a</t>
  </si>
  <si>
    <t>Supply and erection of 0-500V volt Digital meter of size 96 x 96mm on exisiting box / panel board including connections etc., complete.
MAKES : CONZERVE / ELMEASURE / L&amp;T / SEIMENS /  .</t>
  </si>
  <si>
    <t>ELEC- 8.17.2 - a</t>
  </si>
  <si>
    <t>Supply and erection of 0- 400A Digital Ammeter of size 96 x 96mm on existing box / panel board including connections etc., complete.
MAKES : CONZERVE / ELMEASURE / L&amp;T / SEIMENS /  .</t>
  </si>
  <si>
    <t>ELEC-8.17.6-c</t>
  </si>
  <si>
    <t>Supply and erection of Push buttons on the existing panel board.
Makes : LK (L&amp;T) / C&amp;S / SALZAR /   / Siemens</t>
  </si>
  <si>
    <t>Supply and erection of LED Phase indication lamps on the existing panel board              Makes : LK (L&amp;T) / C&amp;S / SALZAR /   / Siemens</t>
  </si>
  <si>
    <t>ELEC- 8.17.7</t>
  </si>
  <si>
    <t xml:space="preserve">Supply and erection of LT current transformer with bar primary 400 / 5A ratio in the existing  panel including connections etc., complete. 
MAKE : KAPPA </t>
  </si>
  <si>
    <t>(ELEC-2.14.1-a)</t>
  </si>
  <si>
    <t xml:space="preserve">﻿Supply of 6A SPMCB 10 kA, C/D Curve ISI Mark.
Makes :Legrand-DX3 / Schneider-Acti9 / Siemens / LK   Exora / BCH / Havells Stadx
</t>
  </si>
  <si>
    <t>Out Going</t>
  </si>
  <si>
    <t>(ELEC-2.8.1-c)</t>
  </si>
  <si>
    <t xml:space="preserve">Supply of 125A 3 Pole MCCB, Adjustable, Confirms to IS/IEC 60947-2 having Breaking Capacity 25 kA with thermal magnetic release Panel Mounted.
Makes : LK (L&amp;T) - D sine / Schneider-NS NSX/Legrand -DP X3/ Siemens-3V </t>
  </si>
  <si>
    <t>(ELEC-2.11.3-a)</t>
  </si>
  <si>
    <t>﻿Supply and Transportation of spreader links of 125A 3 pole</t>
  </si>
  <si>
    <t>(ELEC-2.11.4-a)</t>
  </si>
  <si>
    <t>﻿Supply and Transportation of Rotary Handles upto 160A</t>
  </si>
  <si>
    <t>Out Going: Powers section</t>
  </si>
  <si>
    <t>(ELEC-2.8.1-a)</t>
  </si>
  <si>
    <t xml:space="preserve">Sub Incomer: Supply of 63A 3 Pole MCCB, Adjustable, Confirms to IS/IEC 60947-2 having Breaking Capacity 16 kA with thermal magnetic release Panel Mounted.
Makes : LK (L&amp;T) - D sine / Schneider-NS NSX/Legrand -DP X3/ Siemens-3V </t>
  </si>
  <si>
    <t>﻿Supply of 32A SPMCB 10 kA, C/D Curve ISI Mark.
Makes :Legrand-DX3 / Schneider-Acti9 / Siemens / LK   Exora / BCH / Havells Stadx
( 3 set of 6 nos 32A SPMCB  * 2 sets =  3*6*2=36 nos)</t>
  </si>
  <si>
    <t>Out Going: lighting section</t>
  </si>
  <si>
    <t>﻿Supply of 16A SPMCB 10 kA, C/D Curve ISI Mark.
Makes :Legrand-DX3 / Schneider-Acti9 / Siemens / LK   Exora / BCH / Havells Stadx
( 3 set of 6 nos 32A SPMCB  * 2 sets =  3*6*2=36 nos)</t>
  </si>
  <si>
    <t>Sub Total - I</t>
  </si>
  <si>
    <t>Fabrication   of Cubical Panel board made out of 14 guage outframe &amp;16 guage partitions and base channel, bus bars (0.8A/sqmm) etc complete with locks, door loop earthing etc (Sub total - I *30%)</t>
  </si>
  <si>
    <t>Sub Total - II</t>
  </si>
  <si>
    <t>Add OH&amp;CP@10.615%</t>
  </si>
  <si>
    <t>Total:</t>
  </si>
  <si>
    <t>Rounded off to nearest Ten Rupees</t>
  </si>
  <si>
    <t>Outdoor type LT Panel ( 1 No 125 A I/C &amp; 18 Nos 63 A MCBs O/G)</t>
  </si>
  <si>
    <t xml:space="preserve">Replacement of old  u/s with new Supply, Fabrication,transpotation, Erection, testing and  Commissioing of  conventional LT Panel suitable for 415V, 3 Phases, 4wire, 50Hz AC Supply system fabricated in comparmentalized design with  CRCA sheet steel of 1.6mm thick from frame work and covers, 2mm CRCA thick for gland plate including cleaning and finishing complete with seven tank process for powder coating  approved shade having busbar 150A capacity equal in size for phase and neutral, extensible type FP alluminum alloy busbars of high conductivity, DMC/SMC/Busbar supports with shortcircuit withstand capacity of 35/36KA for 1 sec,  preventing access to live parts as per type tested Replacement of old  u/s with new bottom based channel of suitable size, fabrication done in transportable section, entire panel shall have a common suitable GI earth continuous bar at rear side with 2Nos earth stud, solid connections from main Busbar to switchgears with required size of alumium busbars with control wiring, etc complete with providing following switchgears                                                     </t>
  </si>
  <si>
    <t>(ELEC-2.8.1-d)</t>
  </si>
  <si>
    <t xml:space="preserve">Supply of 125A 4 Pole MCCB, Adjustable, Confirms to IS/IEC 60947-2 having Breaking Capacity 25 kA with thermal magnetic release Panel Mounted.
Makes : LK (L&amp;T) - D sine / Schneider-NS NSX/Legrand -DP X3/ Siemens-3V </t>
  </si>
  <si>
    <t>(ELEC-2.11.3-b)</t>
  </si>
  <si>
    <t>﻿Supply and Transportation of spreader links of 125A 4 pole</t>
  </si>
  <si>
    <t>﻿Supply and Transportation of Rotary Handles up to 160A</t>
  </si>
  <si>
    <t>(ELEC-2.14.1-f)</t>
  </si>
  <si>
    <t xml:space="preserve">Sub Incomer: ﻿Supply of 50-63A DP  MCB 10 kA, C/D Curve ISI Mark.
Makes : Legrand-DX3 / Schneider-Acti9 / Siemens / LK (L&amp;T) Exora </t>
  </si>
  <si>
    <t>(ELEC-2.16.8-c)</t>
  </si>
  <si>
    <t xml:space="preserve">﻿Supply of 32ATP Plug and Socket with SS enclosure.
Makes : Legrand / Schneider / Siemens / LK(L&amp;T) </t>
  </si>
  <si>
    <t>Fabrication   of Cubical Panel board made out of 14 guage outframe &amp;16 guage partitions and base channel, bus bars (0.8A/sqmm) etc complete with locks, door loop earthing,   etc (Sub total - I *30%)</t>
  </si>
  <si>
    <t>4Module 3W LED Foot lamp</t>
  </si>
  <si>
    <t>Independent earthing</t>
  </si>
  <si>
    <t>3 feet length moulded patch cord.</t>
  </si>
  <si>
    <t>Modular co-Axial socket type TV</t>
  </si>
  <si>
    <t>Patch panel</t>
  </si>
  <si>
    <t>Modular telephone Jack with connector</t>
  </si>
  <si>
    <t>WPTC 10 Sq.mm</t>
  </si>
  <si>
    <t>10W LED Bulk  head  fitting</t>
  </si>
  <si>
    <t>HVAC</t>
  </si>
  <si>
    <t>Motors &amp; Pumpsets</t>
  </si>
  <si>
    <t>1.50 HP Borewell Pumpset</t>
  </si>
  <si>
    <t>Telephone System</t>
  </si>
  <si>
    <t>Internal Lighting</t>
  </si>
  <si>
    <t>Fans &amp; Exhaust fans</t>
  </si>
  <si>
    <t>U.G Cabling</t>
  </si>
  <si>
    <t>Switch Boards &amp;  Accessories</t>
  </si>
  <si>
    <t xml:space="preserve">DBs &amp; Equipment </t>
  </si>
  <si>
    <t>Sheathed Cables</t>
  </si>
  <si>
    <t>LAN system</t>
  </si>
  <si>
    <t>Earthing</t>
  </si>
  <si>
    <t>Conduiting</t>
  </si>
  <si>
    <t>Panel Boards</t>
  </si>
  <si>
    <t>Diesel Generator</t>
  </si>
  <si>
    <t>Bells</t>
  </si>
  <si>
    <t>Points</t>
  </si>
  <si>
    <t>External Lighting</t>
  </si>
  <si>
    <t>Miscelleneous</t>
  </si>
  <si>
    <t>6 U Wall Rack</t>
  </si>
  <si>
    <t>Run of Mains</t>
  </si>
  <si>
    <t>Starter for Motors</t>
  </si>
  <si>
    <t>5 KVA UPS</t>
  </si>
  <si>
    <t>25 Ltrs Water Heater (Geysers)</t>
  </si>
  <si>
    <t>Water Heaters</t>
  </si>
  <si>
    <t>Copper Pipe</t>
  </si>
  <si>
    <t>Item Name</t>
  </si>
  <si>
    <t>Group</t>
  </si>
  <si>
    <t>Prefix</t>
  </si>
  <si>
    <t>6U net work rack</t>
  </si>
  <si>
    <t>Replacement of old damaged u/s by new</t>
  </si>
  <si>
    <t>Re-</t>
  </si>
  <si>
    <t>Rewiring with</t>
  </si>
  <si>
    <t>Pts</t>
  </si>
  <si>
    <t>Jobs</t>
  </si>
  <si>
    <t>Light &amp; Bell Points : Residential Building</t>
  </si>
  <si>
    <t>Light &amp; Bell Points : Non-Residential Building</t>
  </si>
  <si>
    <t>Labour Rate Per 6 pts</t>
  </si>
  <si>
    <t>Total material cost for 6 pts</t>
  </si>
  <si>
    <t>Fan and Exhaust Fan Points : Residential Building</t>
  </si>
  <si>
    <t>Fan and Exhaust Fan Points : Non-Residential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</si>
</sst>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quot;₹&quot;\ #,##0.00"/>
    <numFmt numFmtId="166" formatCode="[$-409]0"/>
  </numFmts>
  <fonts count="73">
    <font>
      <sz val="11"/>
      <color theme="1"/>
      <name val="Calibri"/>
      <family val="2"/>
      <scheme val="minor"/>
    </font>
    <font>
      <sz val="11"/>
      <color theme="1"/>
      <name val="Calibri"/>
      <family val="2"/>
      <scheme val="minor"/>
    </font>
    <font>
      <sz val="11"/>
      <color rgb="FFFF0000"/>
      <name val="Calibri"/>
      <family val="2"/>
      <scheme val="minor"/>
    </font>
    <font>
      <sz val="10"/>
      <name val="Times New Roman"/>
      <family val="1"/>
    </font>
    <font>
      <sz val="10"/>
      <color indexed="8"/>
      <name val="Times New Roman"/>
      <family val="1"/>
    </font>
    <font>
      <b/>
      <sz val="11"/>
      <color rgb="FFFF0000"/>
      <name val="Times New Roman"/>
      <family val="1"/>
    </font>
    <font>
      <u/>
      <sz val="10"/>
      <name val="Times New Roman"/>
      <family val="1"/>
    </font>
    <font>
      <u/>
      <sz val="10"/>
      <color theme="1"/>
      <name val="Times New Roman"/>
      <family val="1"/>
    </font>
    <font>
      <b/>
      <sz val="11"/>
      <color theme="1"/>
      <name val="Times New Roman"/>
      <family val="1"/>
    </font>
    <font>
      <sz val="10"/>
      <color theme="1"/>
      <name val="Times New Roman"/>
      <family val="1"/>
    </font>
    <font>
      <sz val="8"/>
      <name val="Ubuntu"/>
    </font>
    <font>
      <sz val="10"/>
      <color theme="1"/>
      <name val="Bookman Old Style"/>
      <family val="1"/>
    </font>
    <font>
      <b/>
      <sz val="10"/>
      <color theme="1"/>
      <name val="Bookman Old Style"/>
      <family val="1"/>
    </font>
    <font>
      <sz val="10"/>
      <color indexed="10"/>
      <name val="Times New Roman"/>
      <family val="1"/>
    </font>
    <font>
      <sz val="10"/>
      <name val="Ubuntu"/>
    </font>
    <font>
      <sz val="9"/>
      <name val="Ubuntu"/>
    </font>
    <font>
      <b/>
      <sz val="10"/>
      <name val="Times New Roman"/>
      <family val="1"/>
    </font>
    <font>
      <sz val="10"/>
      <color rgb="FF000000"/>
      <name val="Times New Roman"/>
      <family val="1"/>
    </font>
    <font>
      <sz val="10"/>
      <color indexed="12"/>
      <name val="Times New Roman"/>
      <family val="1"/>
    </font>
    <font>
      <sz val="10"/>
      <name val="Arial"/>
      <family val="2"/>
    </font>
    <font>
      <b/>
      <sz val="14"/>
      <color rgb="FFFF0000"/>
      <name val="Times New Roman"/>
      <family val="1"/>
    </font>
    <font>
      <b/>
      <sz val="12"/>
      <color rgb="FFFF0000"/>
      <name val="Times New Roman"/>
      <family val="1"/>
    </font>
    <font>
      <b/>
      <sz val="14"/>
      <color theme="1"/>
      <name val="Times New Roman"/>
      <family val="1"/>
    </font>
    <font>
      <sz val="8"/>
      <color rgb="FF000000"/>
      <name val="Times New Roman"/>
      <family val="1"/>
    </font>
    <font>
      <sz val="8"/>
      <name val="Times New Roman"/>
      <family val="1"/>
    </font>
    <font>
      <sz val="8"/>
      <color theme="1"/>
      <name val="Times New Roman"/>
      <family val="1"/>
    </font>
    <font>
      <sz val="18"/>
      <color rgb="FFFF0000"/>
      <name val="Times New Roman"/>
      <family val="1"/>
    </font>
    <font>
      <sz val="18"/>
      <color theme="1"/>
      <name val="Times New Roman"/>
      <family val="1"/>
    </font>
    <font>
      <sz val="10"/>
      <color indexed="8"/>
      <name val="Arial"/>
      <family val="2"/>
    </font>
    <font>
      <sz val="8"/>
      <color indexed="8"/>
      <name val="Arial"/>
      <family val="2"/>
    </font>
    <font>
      <b/>
      <sz val="8"/>
      <color indexed="12"/>
      <name val="Arial"/>
      <family val="2"/>
    </font>
    <font>
      <sz val="8"/>
      <color theme="1"/>
      <name val="Arial"/>
      <family val="2"/>
    </font>
    <font>
      <sz val="10"/>
      <name val="Helv"/>
      <charset val="204"/>
    </font>
    <font>
      <sz val="8"/>
      <name val="Verdana"/>
      <family val="2"/>
    </font>
    <font>
      <sz val="8"/>
      <name val="Arial"/>
      <family val="2"/>
    </font>
    <font>
      <b/>
      <sz val="8"/>
      <color indexed="8"/>
      <name val="Arial"/>
      <family val="2"/>
    </font>
    <font>
      <b/>
      <sz val="11"/>
      <name val="Times New Roman"/>
      <family val="1"/>
    </font>
    <font>
      <sz val="11"/>
      <name val="Times New Roman"/>
      <family val="1"/>
    </font>
    <font>
      <sz val="11"/>
      <color theme="1"/>
      <name val="Times New Roman"/>
      <family val="1"/>
    </font>
    <font>
      <b/>
      <sz val="10"/>
      <color theme="1"/>
      <name val="Times New Roman"/>
      <family val="1"/>
    </font>
    <font>
      <sz val="18"/>
      <color theme="1" tint="4.9989318521683403E-2"/>
      <name val="Times New Roman"/>
      <family val="1"/>
    </font>
    <font>
      <sz val="8"/>
      <color indexed="8"/>
      <name val="Times New Roman"/>
      <family val="1"/>
    </font>
    <font>
      <sz val="8"/>
      <color theme="1"/>
      <name val="Calibri"/>
      <family val="2"/>
      <scheme val="minor"/>
    </font>
    <font>
      <b/>
      <sz val="10"/>
      <color rgb="FFFF0000"/>
      <name val="Times New Roman"/>
      <family val="1"/>
    </font>
    <font>
      <b/>
      <sz val="9"/>
      <color rgb="FFFF0000"/>
      <name val="Times New Roman"/>
      <family val="1"/>
    </font>
    <font>
      <b/>
      <sz val="10"/>
      <color indexed="8"/>
      <name val="Times New Roman"/>
      <family val="1"/>
    </font>
    <font>
      <b/>
      <sz val="10"/>
      <name val="Arial"/>
      <family val="2"/>
    </font>
    <font>
      <sz val="10"/>
      <color theme="1"/>
      <name val="Arial"/>
      <family val="2"/>
    </font>
    <font>
      <sz val="10"/>
      <name val="Times New Roman"/>
      <family val="1"/>
      <charset val="1"/>
    </font>
    <font>
      <sz val="10"/>
      <color rgb="FF000000"/>
      <name val="Times New Roman"/>
      <family val="1"/>
      <charset val="1"/>
    </font>
    <font>
      <b/>
      <sz val="11"/>
      <color rgb="FFFF0000"/>
      <name val="Times New Roman"/>
      <family val="1"/>
      <charset val="1"/>
    </font>
    <font>
      <u/>
      <sz val="10"/>
      <name val="Times New Roman"/>
      <family val="1"/>
      <charset val="1"/>
    </font>
    <font>
      <u/>
      <sz val="10"/>
      <color theme="1"/>
      <name val="Times New Roman"/>
      <family val="1"/>
      <charset val="1"/>
    </font>
    <font>
      <sz val="10"/>
      <color theme="1"/>
      <name val="Times New Roman"/>
      <family val="1"/>
      <charset val="1"/>
    </font>
    <font>
      <sz val="10"/>
      <color rgb="FFFF0000"/>
      <name val="Times New Roman"/>
      <family val="1"/>
      <charset val="1"/>
    </font>
    <font>
      <sz val="10"/>
      <color rgb="FF0000FF"/>
      <name val="Times New Roman"/>
      <family val="1"/>
      <charset val="1"/>
    </font>
    <font>
      <sz val="10"/>
      <color theme="1"/>
      <name val="Bookman Old Style"/>
      <family val="1"/>
      <charset val="1"/>
    </font>
    <font>
      <b/>
      <sz val="10"/>
      <color theme="1"/>
      <name val="Bookman Old Style"/>
      <family val="1"/>
      <charset val="1"/>
    </font>
    <font>
      <b/>
      <sz val="10"/>
      <name val="Times New Roman"/>
      <family val="1"/>
      <charset val="1"/>
    </font>
    <font>
      <b/>
      <sz val="11"/>
      <color rgb="FF000000"/>
      <name val="Times New Roman"/>
      <family val="1"/>
      <charset val="1"/>
    </font>
    <font>
      <sz val="18"/>
      <color rgb="FFFF0000"/>
      <name val="Times New Roman"/>
      <family val="1"/>
      <charset val="1"/>
    </font>
    <font>
      <b/>
      <sz val="12"/>
      <color rgb="FFFF0000"/>
      <name val="Times New Roman"/>
      <family val="1"/>
      <charset val="1"/>
    </font>
    <font>
      <sz val="18"/>
      <color theme="1"/>
      <name val="Times New Roman"/>
      <family val="1"/>
      <charset val="1"/>
    </font>
    <font>
      <b/>
      <sz val="10"/>
      <color theme="1"/>
      <name val="Times New Roman"/>
      <family val="1"/>
      <charset val="1"/>
    </font>
    <font>
      <sz val="10"/>
      <color rgb="FFFF0000"/>
      <name val="Times New Roman"/>
      <family val="1"/>
    </font>
    <font>
      <b/>
      <sz val="14"/>
      <color rgb="FFFF0000"/>
      <name val="Calibri"/>
      <family val="2"/>
      <scheme val="minor"/>
    </font>
    <font>
      <b/>
      <sz val="14"/>
      <color theme="1"/>
      <name val="Calibri"/>
      <family val="2"/>
      <scheme val="minor"/>
    </font>
    <font>
      <b/>
      <sz val="11"/>
      <name val="Arial"/>
      <family val="2"/>
    </font>
    <font>
      <sz val="12"/>
      <name val="Arial"/>
      <family val="2"/>
    </font>
    <font>
      <sz val="12"/>
      <color theme="1"/>
      <name val="Arial"/>
      <family val="2"/>
    </font>
    <font>
      <b/>
      <sz val="10"/>
      <color rgb="FF000000"/>
      <name val="Times New Roman"/>
      <family val="1"/>
    </font>
    <font>
      <b/>
      <sz val="11"/>
      <color theme="1"/>
      <name val="Calibri"/>
      <family val="2"/>
      <scheme val="minor"/>
    </font>
    <font>
      <b/>
      <sz val="11"/>
      <color rgb="FF000000"/>
      <name val="Calibri"/>
      <family val="2"/>
      <charset val="1"/>
    </font>
  </fonts>
  <fills count="9">
    <fill>
      <patternFill patternType="none"/>
    </fill>
    <fill>
      <patternFill patternType="gray125"/>
    </fill>
    <fill>
      <patternFill patternType="solid">
        <fgColor rgb="FFFFFF00"/>
        <bgColor indexed="64"/>
      </patternFill>
    </fill>
    <fill>
      <patternFill patternType="solid">
        <fgColor rgb="FFFFFFFF"/>
        <bgColor rgb="FFFFFFCC"/>
      </patternFill>
    </fill>
    <fill>
      <patternFill patternType="solid">
        <fgColor theme="0"/>
        <bgColor indexed="64"/>
      </patternFill>
    </fill>
    <fill>
      <patternFill patternType="solid">
        <fgColor rgb="FFFFFF00"/>
        <bgColor rgb="FFFFFF00"/>
      </patternFill>
    </fill>
    <fill>
      <patternFill patternType="solid">
        <fgColor rgb="FFFFFF00"/>
        <bgColor rgb="FF000000"/>
      </patternFill>
    </fill>
    <fill>
      <patternFill patternType="solid">
        <fgColor rgb="FFFFFFC8"/>
        <bgColor indexed="64"/>
      </patternFill>
    </fill>
    <fill>
      <patternFill patternType="solid">
        <fgColor rgb="FF808080"/>
        <bgColor rgb="FF96969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9" fillId="0" borderId="0"/>
    <xf numFmtId="0" fontId="32" fillId="0" borderId="0"/>
    <xf numFmtId="0" fontId="19" fillId="0" borderId="0"/>
    <xf numFmtId="0" fontId="1" fillId="0" borderId="0"/>
    <xf numFmtId="0" fontId="1" fillId="0" borderId="0"/>
  </cellStyleXfs>
  <cellXfs count="383">
    <xf numFmtId="0" fontId="0" fillId="0" borderId="0" xfId="0"/>
    <xf numFmtId="0" fontId="3" fillId="2" borderId="1" xfId="0" applyFont="1" applyFill="1" applyBorder="1" applyAlignment="1">
      <alignment vertical="top" wrapText="1"/>
    </xf>
    <xf numFmtId="0" fontId="4" fillId="2" borderId="1" xfId="0" applyFont="1" applyFill="1" applyBorder="1" applyAlignment="1">
      <alignment vertical="top" wrapText="1"/>
    </xf>
    <xf numFmtId="0" fontId="4" fillId="2" borderId="1" xfId="0" applyFont="1" applyFill="1" applyBorder="1" applyAlignment="1">
      <alignment vertical="top"/>
    </xf>
    <xf numFmtId="0" fontId="5" fillId="2" borderId="1" xfId="0" applyFont="1" applyFill="1" applyBorder="1" applyAlignment="1">
      <alignment horizontal="center" vertical="top"/>
    </xf>
    <xf numFmtId="0" fontId="6" fillId="2" borderId="1" xfId="0" applyFont="1" applyFill="1" applyBorder="1" applyAlignment="1">
      <alignment vertical="top"/>
    </xf>
    <xf numFmtId="0" fontId="7" fillId="2" borderId="1" xfId="0" applyFont="1" applyFill="1" applyBorder="1" applyAlignment="1">
      <alignment vertical="top"/>
    </xf>
    <xf numFmtId="0" fontId="3" fillId="0" borderId="1" xfId="0" applyFont="1" applyFill="1" applyBorder="1" applyAlignment="1">
      <alignment vertical="top" wrapText="1"/>
    </xf>
    <xf numFmtId="0" fontId="4" fillId="0" borderId="1" xfId="0" applyFont="1" applyFill="1" applyBorder="1" applyAlignment="1">
      <alignment vertical="top" wrapText="1"/>
    </xf>
    <xf numFmtId="0" fontId="4" fillId="0" borderId="1" xfId="0" applyFont="1" applyFill="1" applyBorder="1" applyAlignment="1">
      <alignment vertical="top"/>
    </xf>
    <xf numFmtId="0" fontId="8" fillId="0" borderId="1" xfId="0" applyFont="1" applyFill="1" applyBorder="1" applyAlignment="1">
      <alignment horizontal="center" vertical="top"/>
    </xf>
    <xf numFmtId="0" fontId="6" fillId="0" borderId="1" xfId="0" applyFont="1" applyFill="1" applyBorder="1" applyAlignment="1">
      <alignment vertical="top"/>
    </xf>
    <xf numFmtId="0" fontId="7" fillId="0" borderId="1" xfId="0" applyFont="1" applyFill="1" applyBorder="1" applyAlignment="1">
      <alignment vertical="top"/>
    </xf>
    <xf numFmtId="0" fontId="3" fillId="0" borderId="1" xfId="0" applyFont="1" applyBorder="1" applyAlignment="1">
      <alignment vertical="top" wrapText="1"/>
    </xf>
    <xf numFmtId="1" fontId="3" fillId="0" borderId="1" xfId="0" applyNumberFormat="1" applyFont="1" applyBorder="1" applyAlignment="1">
      <alignment vertical="top" wrapText="1"/>
    </xf>
    <xf numFmtId="1" fontId="3" fillId="0" borderId="1" xfId="0" applyNumberFormat="1" applyFont="1" applyBorder="1" applyAlignment="1">
      <alignment vertical="top"/>
    </xf>
    <xf numFmtId="0" fontId="9" fillId="0" borderId="1" xfId="0" applyFont="1" applyBorder="1" applyAlignment="1">
      <alignment vertical="top" wrapText="1"/>
    </xf>
    <xf numFmtId="0" fontId="3" fillId="0" borderId="1" xfId="0" applyFont="1" applyBorder="1" applyAlignment="1">
      <alignment horizontal="center" vertical="top" wrapText="1"/>
    </xf>
    <xf numFmtId="0" fontId="3" fillId="0" borderId="1" xfId="0" applyFont="1" applyBorder="1" applyAlignment="1">
      <alignment horizontal="justify" vertical="top" wrapText="1"/>
    </xf>
    <xf numFmtId="2" fontId="3" fillId="0" borderId="1" xfId="0" applyNumberFormat="1" applyFont="1" applyBorder="1" applyAlignment="1">
      <alignment vertical="top" wrapText="1"/>
    </xf>
    <xf numFmtId="2" fontId="3" fillId="0" borderId="1" xfId="0" applyNumberFormat="1" applyFont="1" applyBorder="1" applyAlignment="1">
      <alignment horizontal="center" vertical="top"/>
    </xf>
    <xf numFmtId="2" fontId="9" fillId="0" borderId="1" xfId="0" applyNumberFormat="1" applyFont="1" applyBorder="1" applyAlignment="1">
      <alignment horizontal="center" vertical="top"/>
    </xf>
    <xf numFmtId="1" fontId="3" fillId="0" borderId="1" xfId="0" applyNumberFormat="1" applyFont="1" applyBorder="1" applyAlignment="1">
      <alignment horizontal="center" vertical="top"/>
    </xf>
    <xf numFmtId="2" fontId="3" fillId="0" borderId="1" xfId="0" applyNumberFormat="1" applyFont="1" applyBorder="1" applyAlignment="1">
      <alignment horizontal="left" vertical="top"/>
    </xf>
    <xf numFmtId="2" fontId="3" fillId="0" borderId="1" xfId="0" applyNumberFormat="1" applyFont="1" applyBorder="1" applyAlignment="1">
      <alignment horizontal="center" vertical="top" wrapText="1"/>
    </xf>
    <xf numFmtId="4" fontId="3" fillId="0" borderId="1" xfId="0" applyNumberFormat="1" applyFont="1" applyBorder="1" applyAlignment="1">
      <alignment horizontal="center" vertical="top" wrapText="1"/>
    </xf>
    <xf numFmtId="1" fontId="3" fillId="0" borderId="1" xfId="0" applyNumberFormat="1" applyFont="1" applyBorder="1" applyAlignment="1">
      <alignment horizontal="center" vertical="top" wrapText="1"/>
    </xf>
    <xf numFmtId="0" fontId="3" fillId="0" borderId="1" xfId="0" applyFont="1" applyBorder="1" applyAlignment="1">
      <alignment horizontal="left" vertical="top" wrapText="1"/>
    </xf>
    <xf numFmtId="10" fontId="3" fillId="0" borderId="1" xfId="0" applyNumberFormat="1"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horizontal="center" vertical="top"/>
    </xf>
    <xf numFmtId="0" fontId="3" fillId="0" borderId="1" xfId="0" applyFont="1" applyBorder="1" applyAlignment="1">
      <alignment horizontal="center" vertical="top"/>
    </xf>
    <xf numFmtId="49" fontId="10" fillId="3" borderId="1" xfId="0" applyNumberFormat="1" applyFont="1" applyFill="1" applyBorder="1" applyAlignment="1">
      <alignment horizontal="center" vertical="top" wrapText="1"/>
    </xf>
    <xf numFmtId="0" fontId="3" fillId="0" borderId="1" xfId="0" applyFont="1" applyBorder="1" applyAlignment="1">
      <alignment vertical="top"/>
    </xf>
    <xf numFmtId="0" fontId="9" fillId="0" borderId="1" xfId="0" applyFont="1" applyBorder="1" applyAlignment="1">
      <alignment horizontal="center" vertical="top"/>
    </xf>
    <xf numFmtId="2" fontId="9" fillId="0" borderId="1" xfId="0" applyNumberFormat="1" applyFont="1" applyBorder="1" applyAlignment="1">
      <alignment horizontal="center" vertical="top" wrapText="1"/>
    </xf>
    <xf numFmtId="2" fontId="11" fillId="0" borderId="1" xfId="0" applyNumberFormat="1" applyFont="1" applyBorder="1" applyAlignment="1">
      <alignment horizontal="center" vertical="top"/>
    </xf>
    <xf numFmtId="2" fontId="12" fillId="0" borderId="1" xfId="0" applyNumberFormat="1" applyFont="1" applyBorder="1" applyAlignment="1">
      <alignment horizontal="center" vertical="top"/>
    </xf>
    <xf numFmtId="0" fontId="3" fillId="2" borderId="1" xfId="0" applyFont="1" applyFill="1" applyBorder="1" applyAlignment="1">
      <alignment horizontal="center" vertical="top" wrapText="1"/>
    </xf>
    <xf numFmtId="0" fontId="4" fillId="2" borderId="1" xfId="0" applyFont="1" applyFill="1" applyBorder="1" applyAlignment="1">
      <alignment horizontal="center" vertical="top" wrapText="1"/>
    </xf>
    <xf numFmtId="0" fontId="4" fillId="2" borderId="1" xfId="0" applyFont="1" applyFill="1" applyBorder="1" applyAlignment="1">
      <alignment horizontal="center" vertical="top"/>
    </xf>
    <xf numFmtId="0" fontId="6" fillId="2" borderId="1" xfId="0" applyFont="1" applyFill="1" applyBorder="1" applyAlignment="1">
      <alignment horizontal="center" vertical="top"/>
    </xf>
    <xf numFmtId="0" fontId="7" fillId="2" borderId="1" xfId="0" applyFont="1" applyFill="1" applyBorder="1" applyAlignment="1">
      <alignment horizontal="center" vertical="top"/>
    </xf>
    <xf numFmtId="2" fontId="4" fillId="0" borderId="1" xfId="0" applyNumberFormat="1" applyFont="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horizontal="justify" vertical="top" wrapText="1"/>
    </xf>
    <xf numFmtId="0" fontId="4" fillId="0" borderId="1" xfId="0" applyFont="1" applyBorder="1" applyAlignment="1">
      <alignment vertical="top"/>
    </xf>
    <xf numFmtId="2" fontId="4" fillId="0" borderId="1" xfId="0" applyNumberFormat="1" applyFont="1" applyBorder="1" applyAlignment="1">
      <alignment horizontal="center" vertical="top"/>
    </xf>
    <xf numFmtId="4" fontId="4" fillId="0" borderId="1" xfId="0" applyNumberFormat="1" applyFont="1" applyBorder="1" applyAlignment="1">
      <alignment horizontal="center" vertical="top" wrapText="1"/>
    </xf>
    <xf numFmtId="1" fontId="4" fillId="0" borderId="1" xfId="0" applyNumberFormat="1" applyFont="1" applyBorder="1" applyAlignment="1">
      <alignment horizontal="center" vertical="top" wrapText="1"/>
    </xf>
    <xf numFmtId="0" fontId="13" fillId="0" borderId="1" xfId="0" applyFont="1" applyBorder="1" applyAlignment="1">
      <alignment horizontal="center" vertical="top"/>
    </xf>
    <xf numFmtId="49" fontId="14" fillId="3" borderId="1" xfId="0" applyNumberFormat="1" applyFont="1" applyFill="1" applyBorder="1" applyAlignment="1">
      <alignment horizontal="center" vertical="top" wrapText="1"/>
    </xf>
    <xf numFmtId="49" fontId="15" fillId="3" borderId="1" xfId="0" applyNumberFormat="1" applyFont="1" applyFill="1" applyBorder="1" applyAlignment="1">
      <alignment horizontal="center" vertical="top" wrapText="1"/>
    </xf>
    <xf numFmtId="2" fontId="4" fillId="0" borderId="1" xfId="0" applyNumberFormat="1" applyFont="1" applyBorder="1" applyAlignment="1">
      <alignment horizontal="left" vertical="top"/>
    </xf>
    <xf numFmtId="2" fontId="4" fillId="0" borderId="1" xfId="0" applyNumberFormat="1" applyFont="1" applyBorder="1" applyAlignment="1">
      <alignment horizontal="justify" vertical="top" wrapText="1"/>
    </xf>
    <xf numFmtId="10" fontId="4" fillId="0" borderId="1" xfId="0" applyNumberFormat="1" applyFont="1" applyBorder="1" applyAlignment="1">
      <alignment horizontal="center" vertical="top"/>
    </xf>
    <xf numFmtId="49" fontId="3" fillId="3" borderId="1" xfId="0" applyNumberFormat="1" applyFont="1" applyFill="1" applyBorder="1" applyAlignment="1">
      <alignment horizontal="center" vertical="top" wrapText="1"/>
    </xf>
    <xf numFmtId="0" fontId="9" fillId="0" borderId="1" xfId="0" applyFont="1" applyBorder="1" applyAlignment="1">
      <alignment horizontal="justify" vertical="top" wrapText="1"/>
    </xf>
    <xf numFmtId="164" fontId="3" fillId="0" borderId="1" xfId="0" applyNumberFormat="1" applyFont="1" applyBorder="1" applyAlignment="1">
      <alignment horizontal="center" vertical="top" wrapText="1"/>
    </xf>
    <xf numFmtId="0" fontId="17" fillId="0" borderId="1" xfId="0" applyFont="1" applyBorder="1" applyAlignment="1">
      <alignment horizontal="justify" vertical="top" wrapText="1"/>
    </xf>
    <xf numFmtId="2" fontId="17" fillId="0" borderId="1" xfId="0" applyNumberFormat="1" applyFont="1" applyBorder="1" applyAlignment="1">
      <alignment horizontal="center" vertical="top"/>
    </xf>
    <xf numFmtId="164" fontId="17" fillId="0" borderId="1" xfId="0" applyNumberFormat="1" applyFont="1" applyBorder="1" applyAlignment="1">
      <alignment horizontal="center" vertical="top" wrapText="1"/>
    </xf>
    <xf numFmtId="2" fontId="18" fillId="0" borderId="1" xfId="0" applyNumberFormat="1" applyFont="1" applyBorder="1" applyAlignment="1">
      <alignment horizontal="center" vertical="top"/>
    </xf>
    <xf numFmtId="0" fontId="9" fillId="0" borderId="1" xfId="0" applyFont="1" applyBorder="1" applyAlignment="1">
      <alignment horizontal="center" vertical="top" wrapText="1"/>
    </xf>
    <xf numFmtId="0" fontId="9" fillId="0" borderId="1" xfId="0" applyFont="1" applyBorder="1" applyAlignment="1">
      <alignment vertical="top"/>
    </xf>
    <xf numFmtId="2" fontId="3" fillId="0" borderId="1" xfId="0" applyNumberFormat="1" applyFont="1" applyBorder="1" applyAlignment="1">
      <alignment horizontal="left" vertical="top" wrapText="1"/>
    </xf>
    <xf numFmtId="0" fontId="17" fillId="0" borderId="1" xfId="0" applyFont="1" applyBorder="1" applyAlignment="1">
      <alignment vertical="top" wrapText="1"/>
    </xf>
    <xf numFmtId="0" fontId="3" fillId="0" borderId="1" xfId="0" applyFont="1" applyBorder="1" applyAlignment="1">
      <alignment horizontal="left" vertical="top"/>
    </xf>
    <xf numFmtId="2" fontId="3" fillId="0" borderId="1" xfId="1" applyNumberFormat="1" applyFont="1" applyBorder="1" applyAlignment="1">
      <alignment horizontal="left" vertical="top"/>
    </xf>
    <xf numFmtId="2" fontId="3" fillId="0" borderId="1" xfId="1" applyNumberFormat="1" applyFont="1" applyBorder="1" applyAlignment="1">
      <alignment horizontal="center" vertical="top" wrapText="1"/>
    </xf>
    <xf numFmtId="0" fontId="3" fillId="0" borderId="1" xfId="1" applyFont="1" applyBorder="1" applyAlignment="1">
      <alignment horizontal="center" vertical="top" wrapText="1"/>
    </xf>
    <xf numFmtId="1" fontId="3" fillId="0" borderId="1" xfId="1" applyNumberFormat="1" applyFont="1" applyBorder="1" applyAlignment="1">
      <alignment horizontal="center" vertical="top" wrapText="1"/>
    </xf>
    <xf numFmtId="2" fontId="3" fillId="0" borderId="1" xfId="1" applyNumberFormat="1" applyFont="1" applyBorder="1" applyAlignment="1">
      <alignment horizontal="center" vertical="top"/>
    </xf>
    <xf numFmtId="2" fontId="9" fillId="0" borderId="1" xfId="1" applyNumberFormat="1" applyFont="1" applyBorder="1" applyAlignment="1">
      <alignment horizontal="center" vertical="top"/>
    </xf>
    <xf numFmtId="0" fontId="9" fillId="4" borderId="1" xfId="0" applyFont="1" applyFill="1" applyBorder="1" applyAlignment="1">
      <alignment horizontal="center" vertical="top" wrapText="1"/>
    </xf>
    <xf numFmtId="0" fontId="9" fillId="4" borderId="1" xfId="0" applyFont="1" applyFill="1" applyBorder="1" applyAlignment="1">
      <alignment horizontal="center" vertical="top"/>
    </xf>
    <xf numFmtId="2" fontId="3" fillId="0" borderId="1" xfId="0" applyNumberFormat="1" applyFont="1" applyBorder="1" applyAlignment="1">
      <alignment horizontal="justify" vertical="top" wrapText="1"/>
    </xf>
    <xf numFmtId="2" fontId="9" fillId="4" borderId="1" xfId="0" applyNumberFormat="1" applyFont="1" applyFill="1" applyBorder="1" applyAlignment="1">
      <alignment horizontal="center" vertical="top" wrapText="1"/>
    </xf>
    <xf numFmtId="1" fontId="9" fillId="4" borderId="1" xfId="0" applyNumberFormat="1" applyFont="1" applyFill="1" applyBorder="1" applyAlignment="1">
      <alignment horizontal="center" vertical="top" wrapText="1"/>
    </xf>
    <xf numFmtId="2" fontId="9" fillId="4" borderId="1" xfId="0" applyNumberFormat="1" applyFont="1" applyFill="1" applyBorder="1" applyAlignment="1">
      <alignment horizontal="center" vertical="top"/>
    </xf>
    <xf numFmtId="2" fontId="9" fillId="0" borderId="1" xfId="0" applyNumberFormat="1" applyFont="1" applyBorder="1" applyAlignment="1">
      <alignment horizontal="left" vertical="top" wrapText="1"/>
    </xf>
    <xf numFmtId="0" fontId="3" fillId="0" borderId="1" xfId="1" applyFont="1" applyBorder="1" applyAlignment="1">
      <alignment horizontal="justify" vertical="top" wrapText="1"/>
    </xf>
    <xf numFmtId="10" fontId="3" fillId="0" borderId="1" xfId="1" applyNumberFormat="1" applyFont="1" applyBorder="1" applyAlignment="1">
      <alignment horizontal="center" vertical="top"/>
    </xf>
    <xf numFmtId="0" fontId="3" fillId="4" borderId="1" xfId="0" applyFont="1" applyFill="1" applyBorder="1" applyAlignment="1">
      <alignment horizontal="center" vertical="top" wrapText="1"/>
    </xf>
    <xf numFmtId="1" fontId="17" fillId="4" borderId="1" xfId="0" applyNumberFormat="1" applyFont="1" applyFill="1" applyBorder="1" applyAlignment="1">
      <alignment horizontal="center" vertical="top" wrapText="1"/>
    </xf>
    <xf numFmtId="1" fontId="17" fillId="4" borderId="1" xfId="0" applyNumberFormat="1" applyFont="1" applyFill="1" applyBorder="1" applyAlignment="1">
      <alignment horizontal="center" vertical="top"/>
    </xf>
    <xf numFmtId="0" fontId="4" fillId="4" borderId="1" xfId="0" applyFont="1" applyFill="1" applyBorder="1" applyAlignment="1">
      <alignment vertical="top" wrapText="1"/>
    </xf>
    <xf numFmtId="0" fontId="9" fillId="4" borderId="1" xfId="0" applyFont="1" applyFill="1" applyBorder="1" applyAlignment="1">
      <alignment vertical="top" wrapText="1"/>
    </xf>
    <xf numFmtId="1" fontId="17" fillId="0" borderId="1" xfId="0" applyNumberFormat="1" applyFont="1" applyBorder="1" applyAlignment="1">
      <alignment horizontal="center" vertical="top" wrapText="1"/>
    </xf>
    <xf numFmtId="1" fontId="17" fillId="0" borderId="1" xfId="0" applyNumberFormat="1" applyFont="1" applyBorder="1" applyAlignment="1">
      <alignment horizontal="center" vertical="top"/>
    </xf>
    <xf numFmtId="0" fontId="20" fillId="5" borderId="1" xfId="0" applyFont="1" applyFill="1" applyBorder="1" applyAlignment="1">
      <alignment horizontal="center" vertical="top"/>
    </xf>
    <xf numFmtId="1" fontId="20" fillId="5" borderId="1" xfId="0" applyNumberFormat="1" applyFont="1" applyFill="1" applyBorder="1" applyAlignment="1">
      <alignment horizontal="center" vertical="top" wrapText="1"/>
    </xf>
    <xf numFmtId="1" fontId="20" fillId="5" borderId="1" xfId="0" applyNumberFormat="1" applyFont="1" applyFill="1" applyBorder="1" applyAlignment="1">
      <alignment horizontal="center" vertical="top"/>
    </xf>
    <xf numFmtId="0" fontId="21" fillId="5" borderId="1" xfId="0" applyFont="1" applyFill="1" applyBorder="1" applyAlignment="1">
      <alignment horizontal="center" vertical="top" wrapText="1"/>
    </xf>
    <xf numFmtId="0" fontId="20" fillId="5" borderId="1" xfId="0" applyFont="1" applyFill="1" applyBorder="1" applyAlignment="1">
      <alignment horizontal="center" vertical="top" wrapText="1"/>
    </xf>
    <xf numFmtId="2" fontId="20" fillId="5" borderId="1" xfId="0" applyNumberFormat="1" applyFont="1" applyFill="1" applyBorder="1" applyAlignment="1">
      <alignment horizontal="center" vertical="top"/>
    </xf>
    <xf numFmtId="2" fontId="22" fillId="5" borderId="1" xfId="0" applyNumberFormat="1" applyFont="1" applyFill="1" applyBorder="1" applyAlignment="1">
      <alignment horizontal="center" vertical="top"/>
    </xf>
    <xf numFmtId="0" fontId="20" fillId="0" borderId="1" xfId="0" applyFont="1" applyBorder="1" applyAlignment="1">
      <alignment horizontal="center" vertical="top"/>
    </xf>
    <xf numFmtId="1" fontId="20" fillId="0" borderId="1" xfId="0" applyNumberFormat="1" applyFont="1" applyBorder="1" applyAlignment="1">
      <alignment horizontal="center" vertical="top" wrapText="1"/>
    </xf>
    <xf numFmtId="1" fontId="20" fillId="0" borderId="1" xfId="0" applyNumberFormat="1" applyFont="1" applyBorder="1" applyAlignment="1">
      <alignment horizontal="center" vertical="top"/>
    </xf>
    <xf numFmtId="0" fontId="20" fillId="0" borderId="1" xfId="0" applyFont="1" applyBorder="1" applyAlignment="1">
      <alignment horizontal="center" vertical="top" wrapText="1"/>
    </xf>
    <xf numFmtId="2" fontId="20" fillId="0" borderId="1" xfId="0" applyNumberFormat="1" applyFont="1" applyBorder="1" applyAlignment="1">
      <alignment horizontal="center" vertical="top"/>
    </xf>
    <xf numFmtId="2" fontId="22" fillId="0" borderId="1" xfId="0" applyNumberFormat="1" applyFont="1" applyBorder="1" applyAlignment="1">
      <alignment horizontal="center" vertical="top"/>
    </xf>
    <xf numFmtId="2" fontId="17" fillId="0" borderId="1" xfId="0" applyNumberFormat="1" applyFont="1" applyBorder="1" applyAlignment="1">
      <alignment horizontal="center" vertical="top" wrapText="1"/>
    </xf>
    <xf numFmtId="0" fontId="17" fillId="0" borderId="1" xfId="0" applyFont="1" applyBorder="1" applyAlignment="1">
      <alignment horizontal="center" vertical="top"/>
    </xf>
    <xf numFmtId="0" fontId="17" fillId="0" borderId="1" xfId="0" applyFont="1" applyBorder="1" applyAlignment="1">
      <alignment horizontal="left" vertical="top" wrapText="1"/>
    </xf>
    <xf numFmtId="0" fontId="9" fillId="0" borderId="1" xfId="0" applyFont="1" applyBorder="1" applyAlignment="1">
      <alignment horizontal="left" vertical="top" wrapText="1"/>
    </xf>
    <xf numFmtId="0" fontId="17" fillId="0" borderId="1" xfId="0" applyFont="1" applyBorder="1" applyAlignment="1">
      <alignment horizontal="center" vertical="top" wrapText="1"/>
    </xf>
    <xf numFmtId="0" fontId="17" fillId="0" borderId="1" xfId="0" applyFont="1" applyBorder="1" applyAlignment="1">
      <alignment horizontal="left" vertical="top"/>
    </xf>
    <xf numFmtId="2" fontId="17" fillId="0" borderId="1" xfId="0" applyNumberFormat="1" applyFont="1" applyBorder="1" applyAlignment="1">
      <alignment horizontal="right" vertical="top" wrapText="1"/>
    </xf>
    <xf numFmtId="1" fontId="17" fillId="0" borderId="1" xfId="0" applyNumberFormat="1" applyFont="1" applyBorder="1" applyAlignment="1">
      <alignment vertical="top" wrapText="1"/>
    </xf>
    <xf numFmtId="2" fontId="9" fillId="0" borderId="1" xfId="0" applyNumberFormat="1" applyFont="1" applyBorder="1" applyAlignment="1">
      <alignment vertical="top"/>
    </xf>
    <xf numFmtId="4" fontId="17" fillId="0" borderId="1" xfId="0" applyNumberFormat="1" applyFont="1" applyBorder="1" applyAlignment="1">
      <alignment horizontal="left" vertical="top" wrapText="1"/>
    </xf>
    <xf numFmtId="0" fontId="4" fillId="0" borderId="1" xfId="0" applyFont="1" applyBorder="1" applyAlignment="1">
      <alignment horizontal="justify" vertical="top"/>
    </xf>
    <xf numFmtId="4" fontId="3" fillId="0" borderId="1" xfId="0" applyNumberFormat="1" applyFont="1" applyBorder="1" applyAlignment="1">
      <alignment horizontal="justify" vertical="top" wrapText="1"/>
    </xf>
    <xf numFmtId="1" fontId="3" fillId="0" borderId="1" xfId="0" applyNumberFormat="1" applyFont="1" applyBorder="1" applyAlignment="1">
      <alignment horizontal="justify" vertical="top" wrapText="1"/>
    </xf>
    <xf numFmtId="2" fontId="3" fillId="0" borderId="1" xfId="0" applyNumberFormat="1" applyFont="1" applyBorder="1" applyAlignment="1">
      <alignment horizontal="justify" vertical="top"/>
    </xf>
    <xf numFmtId="2" fontId="11" fillId="0" borderId="1" xfId="0" applyNumberFormat="1" applyFont="1" applyBorder="1" applyAlignment="1">
      <alignment horizontal="justify"/>
    </xf>
    <xf numFmtId="0" fontId="17" fillId="0" borderId="1" xfId="0" applyFont="1" applyBorder="1" applyAlignment="1">
      <alignment vertical="top"/>
    </xf>
    <xf numFmtId="2" fontId="4" fillId="0" borderId="1" xfId="1" applyNumberFormat="1" applyFont="1" applyBorder="1" applyAlignment="1">
      <alignment horizontal="center" vertical="top" wrapText="1"/>
    </xf>
    <xf numFmtId="2" fontId="9" fillId="0" borderId="1" xfId="0" applyNumberFormat="1" applyFont="1" applyBorder="1" applyAlignment="1">
      <alignment horizontal="justify" vertical="top" wrapText="1"/>
    </xf>
    <xf numFmtId="0" fontId="9" fillId="0" borderId="1" xfId="0" applyFont="1" applyBorder="1" applyAlignment="1">
      <alignment horizontal="center" wrapText="1"/>
    </xf>
    <xf numFmtId="2" fontId="4" fillId="0" borderId="1" xfId="0" applyNumberFormat="1" applyFont="1" applyBorder="1" applyAlignment="1">
      <alignment vertical="top"/>
    </xf>
    <xf numFmtId="2" fontId="23" fillId="0" borderId="1" xfId="0" applyNumberFormat="1" applyFont="1" applyBorder="1" applyAlignment="1">
      <alignment horizontal="center" vertical="top" wrapText="1"/>
    </xf>
    <xf numFmtId="1" fontId="4" fillId="0" borderId="1" xfId="0" applyNumberFormat="1" applyFont="1" applyBorder="1" applyAlignment="1">
      <alignment horizontal="center" vertical="top"/>
    </xf>
    <xf numFmtId="1" fontId="24" fillId="0" borderId="1" xfId="0" applyNumberFormat="1" applyFont="1" applyBorder="1" applyAlignment="1">
      <alignment horizontal="center" vertical="top" wrapText="1"/>
    </xf>
    <xf numFmtId="1" fontId="13" fillId="0" borderId="1" xfId="0" applyNumberFormat="1" applyFont="1" applyBorder="1" applyAlignment="1">
      <alignment horizontal="center" vertical="top" wrapText="1"/>
    </xf>
    <xf numFmtId="0" fontId="13" fillId="0" borderId="1" xfId="0" applyFont="1" applyBorder="1" applyAlignment="1">
      <alignment horizontal="center" vertical="top" wrapText="1"/>
    </xf>
    <xf numFmtId="1" fontId="25" fillId="0" borderId="1" xfId="0" applyNumberFormat="1" applyFont="1" applyBorder="1" applyAlignment="1">
      <alignment horizontal="center" vertical="top" wrapText="1"/>
    </xf>
    <xf numFmtId="1" fontId="9" fillId="0" borderId="1" xfId="0" applyNumberFormat="1" applyFont="1" applyBorder="1" applyAlignment="1">
      <alignment horizontal="center" vertical="top" wrapText="1"/>
    </xf>
    <xf numFmtId="0" fontId="26" fillId="2" borderId="1" xfId="0" applyFont="1" applyFill="1" applyBorder="1" applyAlignment="1">
      <alignment horizontal="center" vertical="top" wrapText="1"/>
    </xf>
    <xf numFmtId="0" fontId="26" fillId="2" borderId="1" xfId="0" applyFont="1" applyFill="1" applyBorder="1" applyAlignment="1">
      <alignment vertical="top"/>
    </xf>
    <xf numFmtId="0" fontId="5" fillId="2" borderId="1" xfId="0" applyFont="1" applyFill="1" applyBorder="1" applyAlignment="1">
      <alignment horizontal="center" vertical="top" wrapText="1"/>
    </xf>
    <xf numFmtId="0" fontId="27" fillId="2" borderId="1" xfId="0" applyFont="1" applyFill="1" applyBorder="1" applyAlignment="1">
      <alignment horizontal="center" vertical="top" wrapText="1"/>
    </xf>
    <xf numFmtId="0" fontId="28" fillId="0" borderId="1" xfId="0" applyFont="1" applyBorder="1" applyAlignment="1">
      <alignment vertical="top"/>
    </xf>
    <xf numFmtId="0" fontId="29" fillId="0" borderId="1" xfId="0" applyFont="1" applyBorder="1" applyAlignment="1">
      <alignment horizontal="center" vertical="top" wrapText="1"/>
    </xf>
    <xf numFmtId="0" fontId="29" fillId="0" borderId="1" xfId="0" applyFont="1" applyBorder="1" applyAlignment="1">
      <alignment horizontal="center" vertical="top"/>
    </xf>
    <xf numFmtId="2" fontId="29" fillId="0" borderId="1" xfId="0" applyNumberFormat="1" applyFont="1" applyBorder="1" applyAlignment="1">
      <alignment horizontal="right" vertical="top" wrapText="1"/>
    </xf>
    <xf numFmtId="0" fontId="29" fillId="0" borderId="1" xfId="0" applyFont="1" applyBorder="1" applyAlignment="1">
      <alignment horizontal="justify" vertical="top" wrapText="1"/>
    </xf>
    <xf numFmtId="1" fontId="29" fillId="0" borderId="1" xfId="0" applyNumberFormat="1" applyFont="1" applyBorder="1" applyAlignment="1">
      <alignment vertical="top" wrapText="1"/>
    </xf>
    <xf numFmtId="4" fontId="29" fillId="0" borderId="1" xfId="0" applyNumberFormat="1" applyFont="1" applyBorder="1" applyAlignment="1">
      <alignment horizontal="left" vertical="top" wrapText="1"/>
    </xf>
    <xf numFmtId="2" fontId="30" fillId="0" borderId="1" xfId="0" applyNumberFormat="1" applyFont="1" applyBorder="1" applyAlignment="1">
      <alignment horizontal="center" vertical="top"/>
    </xf>
    <xf numFmtId="2" fontId="31" fillId="0" borderId="1" xfId="0" applyNumberFormat="1" applyFont="1" applyBorder="1" applyAlignment="1">
      <alignment vertical="top"/>
    </xf>
    <xf numFmtId="2" fontId="29" fillId="0" borderId="1" xfId="0" applyNumberFormat="1" applyFont="1" applyBorder="1" applyAlignment="1">
      <alignment horizontal="center" vertical="top" wrapText="1"/>
    </xf>
    <xf numFmtId="0" fontId="33" fillId="0" borderId="1" xfId="2" applyFont="1" applyBorder="1" applyAlignment="1">
      <alignment horizontal="justify" vertical="top" wrapText="1"/>
    </xf>
    <xf numFmtId="0" fontId="31" fillId="0" borderId="1" xfId="0" applyFont="1" applyBorder="1" applyAlignment="1">
      <alignment horizontal="justify" vertical="top" wrapText="1"/>
    </xf>
    <xf numFmtId="0" fontId="29" fillId="0" borderId="1" xfId="0" applyFont="1" applyBorder="1" applyAlignment="1">
      <alignment horizontal="center" vertical="center"/>
    </xf>
    <xf numFmtId="0" fontId="29" fillId="0" borderId="1" xfId="0" applyFont="1" applyBorder="1" applyAlignment="1">
      <alignment horizontal="justify" vertical="center" wrapText="1"/>
    </xf>
    <xf numFmtId="2" fontId="29" fillId="0" borderId="1" xfId="0" applyNumberFormat="1" applyFont="1" applyBorder="1" applyAlignment="1">
      <alignment horizontal="right" vertical="center" wrapText="1"/>
    </xf>
    <xf numFmtId="0" fontId="29" fillId="0" borderId="1" xfId="0" applyFont="1" applyBorder="1" applyAlignment="1">
      <alignment horizontal="left" vertical="center" wrapText="1"/>
    </xf>
    <xf numFmtId="1" fontId="29" fillId="0" borderId="1" xfId="0" applyNumberFormat="1" applyFont="1" applyBorder="1" applyAlignment="1">
      <alignment vertical="center" wrapText="1"/>
    </xf>
    <xf numFmtId="2" fontId="29" fillId="0" borderId="1" xfId="0" applyNumberFormat="1" applyFont="1" applyBorder="1" applyAlignment="1">
      <alignment horizontal="center" vertical="center"/>
    </xf>
    <xf numFmtId="2" fontId="31" fillId="0" borderId="1" xfId="0" applyNumberFormat="1" applyFont="1" applyBorder="1" applyAlignment="1">
      <alignment vertical="center"/>
    </xf>
    <xf numFmtId="4" fontId="29" fillId="0" borderId="1" xfId="0" applyNumberFormat="1" applyFont="1" applyBorder="1" applyAlignment="1">
      <alignment horizontal="left" vertical="center" wrapText="1"/>
    </xf>
    <xf numFmtId="2" fontId="34" fillId="0" borderId="1" xfId="0" applyNumberFormat="1" applyFont="1" applyBorder="1" applyAlignment="1">
      <alignment horizontal="right" vertical="center" wrapText="1"/>
    </xf>
    <xf numFmtId="4" fontId="34" fillId="0" borderId="1" xfId="0" applyNumberFormat="1" applyFont="1" applyBorder="1" applyAlignment="1">
      <alignment horizontal="left" vertical="center" wrapText="1"/>
    </xf>
    <xf numFmtId="1" fontId="34" fillId="0" borderId="1" xfId="0" applyNumberFormat="1" applyFont="1" applyBorder="1" applyAlignment="1">
      <alignment vertical="center" wrapText="1"/>
    </xf>
    <xf numFmtId="2" fontId="34" fillId="0" borderId="1" xfId="0" applyNumberFormat="1" applyFont="1" applyBorder="1" applyAlignment="1">
      <alignment horizontal="center" vertical="center"/>
    </xf>
    <xf numFmtId="2" fontId="31" fillId="0" borderId="1" xfId="0" applyNumberFormat="1" applyFont="1" applyBorder="1" applyAlignment="1">
      <alignment horizontal="right" vertical="center"/>
    </xf>
    <xf numFmtId="1" fontId="29" fillId="0" borderId="1" xfId="0" applyNumberFormat="1" applyFont="1" applyBorder="1" applyAlignment="1">
      <alignment horizontal="right" vertical="center" wrapText="1"/>
    </xf>
    <xf numFmtId="2" fontId="29" fillId="0" borderId="1" xfId="0" applyNumberFormat="1" applyFont="1" applyBorder="1" applyAlignment="1">
      <alignment horizontal="left" vertical="center"/>
    </xf>
    <xf numFmtId="0" fontId="34" fillId="0" borderId="1" xfId="0" applyFont="1" applyBorder="1" applyAlignment="1">
      <alignment horizontal="justify" vertical="center" wrapText="1"/>
    </xf>
    <xf numFmtId="0" fontId="35" fillId="0" borderId="1" xfId="0" applyFont="1" applyBorder="1" applyAlignment="1">
      <alignment horizontal="justify" vertical="top" wrapText="1"/>
    </xf>
    <xf numFmtId="0" fontId="29" fillId="0" borderId="1" xfId="0" applyFont="1" applyBorder="1" applyAlignment="1">
      <alignment horizontal="left" vertical="top" wrapText="1"/>
    </xf>
    <xf numFmtId="0" fontId="3" fillId="0" borderId="1" xfId="0" applyFont="1" applyBorder="1" applyAlignment="1">
      <alignment horizontal="justify" vertical="top"/>
    </xf>
    <xf numFmtId="164" fontId="3" fillId="0" borderId="1" xfId="0" applyNumberFormat="1" applyFont="1" applyBorder="1" applyAlignment="1">
      <alignment horizontal="center" vertical="top"/>
    </xf>
    <xf numFmtId="0" fontId="36" fillId="2" borderId="1" xfId="0" applyFont="1" applyFill="1" applyBorder="1" applyAlignment="1">
      <alignment horizontal="center" vertical="top" wrapText="1"/>
    </xf>
    <xf numFmtId="0" fontId="36" fillId="2" borderId="1" xfId="0" applyFont="1" applyFill="1" applyBorder="1" applyAlignment="1">
      <alignment horizontal="center" vertical="center" wrapText="1"/>
    </xf>
    <xf numFmtId="0" fontId="36"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2" fontId="36" fillId="2" borderId="1" xfId="0" applyNumberFormat="1" applyFont="1" applyFill="1" applyBorder="1" applyAlignment="1">
      <alignment horizontal="center" vertical="center" wrapText="1"/>
    </xf>
    <xf numFmtId="2" fontId="8" fillId="2" borderId="1" xfId="0" applyNumberFormat="1" applyFont="1" applyFill="1" applyBorder="1" applyAlignment="1">
      <alignment horizontal="center" vertical="top" wrapText="1"/>
    </xf>
    <xf numFmtId="0" fontId="37" fillId="0" borderId="1" xfId="0" applyFont="1" applyBorder="1"/>
    <xf numFmtId="0" fontId="37" fillId="0" borderId="1" xfId="0" applyFont="1" applyBorder="1" applyAlignment="1">
      <alignment wrapText="1"/>
    </xf>
    <xf numFmtId="0" fontId="37" fillId="0" borderId="1" xfId="0" applyFont="1" applyBorder="1" applyAlignment="1"/>
    <xf numFmtId="0" fontId="38" fillId="0" borderId="1" xfId="0" applyFont="1" applyBorder="1"/>
    <xf numFmtId="1" fontId="9" fillId="0" borderId="1" xfId="0" applyNumberFormat="1" applyFont="1" applyBorder="1" applyAlignment="1">
      <alignment horizontal="center" vertical="top"/>
    </xf>
    <xf numFmtId="0" fontId="36" fillId="0" borderId="1" xfId="0" applyFont="1" applyBorder="1" applyAlignment="1">
      <alignment horizontal="center" vertical="top"/>
    </xf>
    <xf numFmtId="0" fontId="37" fillId="0" borderId="1" xfId="0" applyFont="1" applyBorder="1" applyAlignment="1">
      <alignment horizontal="center" vertical="top" wrapText="1"/>
    </xf>
    <xf numFmtId="0" fontId="37" fillId="0" borderId="1" xfId="0" applyFont="1" applyBorder="1" applyAlignment="1">
      <alignment vertical="top"/>
    </xf>
    <xf numFmtId="0" fontId="37" fillId="0" borderId="1" xfId="0" applyFont="1" applyBorder="1" applyAlignment="1">
      <alignment horizontal="left" vertical="top" wrapText="1"/>
    </xf>
    <xf numFmtId="2" fontId="37" fillId="0" borderId="1" xfId="0" applyNumberFormat="1" applyFont="1" applyBorder="1" applyAlignment="1">
      <alignment horizontal="center" vertical="top" wrapText="1"/>
    </xf>
    <xf numFmtId="4" fontId="37" fillId="0" borderId="1" xfId="0" applyNumberFormat="1" applyFont="1" applyBorder="1" applyAlignment="1">
      <alignment horizontal="center" vertical="top" wrapText="1"/>
    </xf>
    <xf numFmtId="1" fontId="37" fillId="0" borderId="1" xfId="0" applyNumberFormat="1" applyFont="1" applyBorder="1" applyAlignment="1">
      <alignment horizontal="center" vertical="top" wrapText="1"/>
    </xf>
    <xf numFmtId="10" fontId="37" fillId="0" borderId="1" xfId="0" applyNumberFormat="1" applyFont="1" applyBorder="1" applyAlignment="1">
      <alignment vertical="top"/>
    </xf>
    <xf numFmtId="2" fontId="38" fillId="0" borderId="1" xfId="0" applyNumberFormat="1" applyFont="1" applyBorder="1" applyAlignment="1">
      <alignment horizontal="center" vertical="top"/>
    </xf>
    <xf numFmtId="0" fontId="9" fillId="0" borderId="1" xfId="0" applyFont="1" applyBorder="1" applyAlignment="1">
      <alignment horizontal="left" vertical="top"/>
    </xf>
    <xf numFmtId="4" fontId="9" fillId="0" borderId="1" xfId="0" applyNumberFormat="1" applyFont="1" applyBorder="1" applyAlignment="1">
      <alignment horizontal="center" vertical="top" wrapText="1"/>
    </xf>
    <xf numFmtId="2" fontId="9" fillId="0" borderId="1" xfId="3" applyNumberFormat="1" applyFont="1" applyBorder="1" applyAlignment="1">
      <alignment horizontal="center" vertical="top"/>
    </xf>
    <xf numFmtId="0" fontId="17" fillId="0" borderId="1" xfId="0" applyFont="1" applyBorder="1" applyAlignment="1">
      <alignment wrapText="1"/>
    </xf>
    <xf numFmtId="0" fontId="9" fillId="0" borderId="1" xfId="3" applyFont="1" applyBorder="1" applyAlignment="1">
      <alignment horizontal="justify" vertical="top" wrapText="1"/>
    </xf>
    <xf numFmtId="0" fontId="3" fillId="4" borderId="1" xfId="0" applyFont="1" applyFill="1" applyBorder="1" applyAlignment="1">
      <alignment horizontal="center" vertical="top"/>
    </xf>
    <xf numFmtId="1" fontId="24" fillId="4" borderId="1" xfId="0" applyNumberFormat="1" applyFont="1" applyFill="1" applyBorder="1" applyAlignment="1">
      <alignment horizontal="center" vertical="top" wrapText="1"/>
    </xf>
    <xf numFmtId="1" fontId="3" fillId="4" borderId="1" xfId="0" applyNumberFormat="1" applyFont="1" applyFill="1" applyBorder="1" applyAlignment="1">
      <alignment horizontal="center" vertical="top"/>
    </xf>
    <xf numFmtId="0" fontId="3" fillId="4" borderId="1" xfId="0" applyFont="1" applyFill="1" applyBorder="1" applyAlignment="1">
      <alignment horizontal="justify" vertical="top"/>
    </xf>
    <xf numFmtId="2" fontId="9" fillId="0" borderId="1" xfId="0" applyNumberFormat="1" applyFont="1" applyBorder="1" applyAlignment="1">
      <alignment horizontal="left" vertical="top"/>
    </xf>
    <xf numFmtId="2" fontId="4" fillId="0" borderId="1" xfId="0" applyNumberFormat="1" applyFont="1" applyBorder="1" applyAlignment="1">
      <alignment vertical="top" wrapText="1"/>
    </xf>
    <xf numFmtId="0" fontId="9" fillId="0" borderId="1" xfId="0" applyFont="1" applyBorder="1" applyAlignment="1">
      <alignment wrapText="1"/>
    </xf>
    <xf numFmtId="0" fontId="21" fillId="2" borderId="1" xfId="0" applyFont="1" applyFill="1" applyBorder="1" applyAlignment="1">
      <alignment horizontal="center" vertical="top" wrapText="1"/>
    </xf>
    <xf numFmtId="0" fontId="26" fillId="0" borderId="1" xfId="0" applyFont="1" applyBorder="1" applyAlignment="1">
      <alignment horizontal="center" vertical="top" wrapText="1"/>
    </xf>
    <xf numFmtId="0" fontId="26" fillId="0" borderId="1" xfId="0" applyFont="1" applyBorder="1" applyAlignment="1">
      <alignment vertical="top"/>
    </xf>
    <xf numFmtId="0" fontId="27" fillId="0" borderId="1" xfId="0" applyFont="1" applyBorder="1" applyAlignment="1">
      <alignment horizontal="center" vertical="top" wrapText="1"/>
    </xf>
    <xf numFmtId="1" fontId="4" fillId="0" borderId="1" xfId="0" applyNumberFormat="1" applyFont="1" applyBorder="1" applyAlignment="1">
      <alignment vertical="top"/>
    </xf>
    <xf numFmtId="0" fontId="39" fillId="0" borderId="1" xfId="0" applyFont="1" applyBorder="1" applyAlignment="1">
      <alignment horizontal="center"/>
    </xf>
    <xf numFmtId="0" fontId="9" fillId="0" borderId="1" xfId="0" applyFont="1" applyBorder="1" applyAlignment="1"/>
    <xf numFmtId="0" fontId="40" fillId="0" borderId="1" xfId="0" applyFont="1" applyBorder="1" applyAlignment="1">
      <alignment horizontal="center" vertical="top" wrapText="1"/>
    </xf>
    <xf numFmtId="0" fontId="40" fillId="0" borderId="1" xfId="0" applyFont="1" applyBorder="1" applyAlignment="1">
      <alignment vertical="top"/>
    </xf>
    <xf numFmtId="2" fontId="41" fillId="0" borderId="1" xfId="0" applyNumberFormat="1" applyFont="1" applyBorder="1" applyAlignment="1">
      <alignment horizontal="center" vertical="top" wrapText="1"/>
    </xf>
    <xf numFmtId="0" fontId="42" fillId="0" borderId="1" xfId="0" applyFont="1" applyBorder="1" applyAlignment="1">
      <alignment wrapText="1"/>
    </xf>
    <xf numFmtId="2" fontId="5" fillId="2" borderId="1" xfId="0" applyNumberFormat="1" applyFont="1" applyFill="1" applyBorder="1" applyAlignment="1">
      <alignment horizontal="center" vertical="top" wrapText="1"/>
    </xf>
    <xf numFmtId="1" fontId="5" fillId="2" borderId="1" xfId="0" applyNumberFormat="1" applyFont="1" applyFill="1" applyBorder="1" applyAlignment="1">
      <alignment horizontal="center" vertical="top" wrapText="1"/>
    </xf>
    <xf numFmtId="2" fontId="5" fillId="2" borderId="1" xfId="0" applyNumberFormat="1" applyFont="1" applyFill="1" applyBorder="1" applyAlignment="1">
      <alignment horizontal="center" vertical="top"/>
    </xf>
    <xf numFmtId="2" fontId="8" fillId="2" borderId="1" xfId="0" applyNumberFormat="1" applyFont="1" applyFill="1" applyBorder="1" applyAlignment="1">
      <alignment horizontal="center" vertical="top"/>
    </xf>
    <xf numFmtId="0" fontId="5" fillId="0" borderId="1" xfId="0" applyFont="1" applyFill="1" applyBorder="1" applyAlignment="1">
      <alignment horizontal="center" vertical="top" wrapText="1"/>
    </xf>
    <xf numFmtId="0" fontId="5" fillId="0" borderId="1" xfId="0" applyFont="1" applyFill="1" applyBorder="1" applyAlignment="1">
      <alignment horizontal="center" vertical="top"/>
    </xf>
    <xf numFmtId="2" fontId="5" fillId="0" borderId="1" xfId="0" applyNumberFormat="1" applyFont="1" applyFill="1" applyBorder="1" applyAlignment="1">
      <alignment horizontal="center" vertical="top" wrapText="1"/>
    </xf>
    <xf numFmtId="1" fontId="5" fillId="0" borderId="1" xfId="0" applyNumberFormat="1" applyFont="1" applyFill="1" applyBorder="1" applyAlignment="1">
      <alignment horizontal="center" vertical="top" wrapText="1"/>
    </xf>
    <xf numFmtId="2" fontId="5" fillId="0" borderId="1" xfId="0" applyNumberFormat="1" applyFont="1" applyFill="1" applyBorder="1" applyAlignment="1">
      <alignment horizontal="center" vertical="top"/>
    </xf>
    <xf numFmtId="2" fontId="8" fillId="0" borderId="1" xfId="0" applyNumberFormat="1" applyFont="1" applyFill="1" applyBorder="1" applyAlignment="1">
      <alignment horizontal="center" vertical="top"/>
    </xf>
    <xf numFmtId="2" fontId="4" fillId="2" borderId="1" xfId="0" applyNumberFormat="1" applyFont="1" applyFill="1" applyBorder="1" applyAlignment="1">
      <alignment horizontal="center" vertical="top" wrapText="1"/>
    </xf>
    <xf numFmtId="2" fontId="4" fillId="2" borderId="1" xfId="0" applyNumberFormat="1" applyFont="1" applyFill="1" applyBorder="1" applyAlignment="1">
      <alignment horizontal="center" vertical="top"/>
    </xf>
    <xf numFmtId="0" fontId="43" fillId="2" borderId="1" xfId="0" applyFont="1" applyFill="1" applyBorder="1" applyAlignment="1">
      <alignment horizontal="center" vertical="top" wrapText="1"/>
    </xf>
    <xf numFmtId="1" fontId="4" fillId="2" borderId="1" xfId="0" applyNumberFormat="1" applyFont="1" applyFill="1" applyBorder="1" applyAlignment="1">
      <alignment horizontal="center" vertical="top" wrapText="1"/>
    </xf>
    <xf numFmtId="2" fontId="9" fillId="2" borderId="1" xfId="0" applyNumberFormat="1" applyFont="1" applyFill="1" applyBorder="1" applyAlignment="1">
      <alignment horizontal="center" vertical="top" wrapText="1"/>
    </xf>
    <xf numFmtId="2" fontId="17" fillId="4" borderId="1" xfId="0" applyNumberFormat="1" applyFont="1" applyFill="1" applyBorder="1" applyAlignment="1">
      <alignment horizontal="center" vertical="top" wrapText="1"/>
    </xf>
    <xf numFmtId="2" fontId="17" fillId="4" borderId="1" xfId="0" applyNumberFormat="1" applyFont="1" applyFill="1" applyBorder="1" applyAlignment="1">
      <alignment horizontal="center" vertical="top"/>
    </xf>
    <xf numFmtId="0" fontId="3" fillId="4" borderId="1" xfId="0" applyFont="1" applyFill="1" applyBorder="1" applyAlignment="1">
      <alignment vertical="top" wrapText="1"/>
    </xf>
    <xf numFmtId="2" fontId="17" fillId="0" borderId="1" xfId="0" applyNumberFormat="1" applyFont="1" applyFill="1" applyBorder="1" applyAlignment="1">
      <alignment horizontal="center" vertical="top"/>
    </xf>
    <xf numFmtId="0" fontId="44" fillId="2" borderId="1" xfId="0" applyFont="1" applyFill="1" applyBorder="1" applyAlignment="1">
      <alignment horizontal="center" vertical="top" wrapText="1"/>
    </xf>
    <xf numFmtId="0" fontId="9" fillId="2" borderId="1" xfId="0" applyFont="1" applyFill="1" applyBorder="1" applyAlignment="1">
      <alignment horizontal="center"/>
    </xf>
    <xf numFmtId="0" fontId="9" fillId="2" borderId="1" xfId="0" applyFont="1" applyFill="1" applyBorder="1" applyAlignment="1">
      <alignment horizontal="center" wrapText="1"/>
    </xf>
    <xf numFmtId="0" fontId="43" fillId="2" borderId="1" xfId="0" applyFont="1" applyFill="1" applyBorder="1" applyAlignment="1">
      <alignment horizontal="center"/>
    </xf>
    <xf numFmtId="2" fontId="9" fillId="2" borderId="1" xfId="0" applyNumberFormat="1" applyFont="1" applyFill="1" applyBorder="1" applyAlignment="1">
      <alignment horizontal="center"/>
    </xf>
    <xf numFmtId="2" fontId="9" fillId="2" borderId="1" xfId="0" applyNumberFormat="1" applyFont="1" applyFill="1" applyBorder="1" applyAlignment="1">
      <alignment horizontal="center" wrapText="1"/>
    </xf>
    <xf numFmtId="0" fontId="9" fillId="0" borderId="1" xfId="0" applyFont="1" applyBorder="1"/>
    <xf numFmtId="2" fontId="9" fillId="0" borderId="1" xfId="0" applyNumberFormat="1" applyFont="1" applyBorder="1"/>
    <xf numFmtId="2" fontId="9" fillId="0" borderId="1" xfId="0" applyNumberFormat="1" applyFont="1" applyBorder="1" applyAlignment="1">
      <alignment wrapText="1"/>
    </xf>
    <xf numFmtId="0" fontId="9" fillId="0" borderId="1" xfId="0" applyFont="1" applyBorder="1" applyAlignment="1">
      <alignment vertical="center"/>
    </xf>
    <xf numFmtId="0" fontId="9" fillId="0" borderId="1" xfId="0" applyFont="1" applyBorder="1" applyAlignment="1">
      <alignment vertical="center" wrapText="1"/>
    </xf>
    <xf numFmtId="2" fontId="9" fillId="0" borderId="1" xfId="0" applyNumberFormat="1" applyFont="1" applyBorder="1" applyAlignment="1">
      <alignment vertical="center"/>
    </xf>
    <xf numFmtId="2" fontId="9" fillId="0" borderId="1" xfId="0" applyNumberFormat="1" applyFont="1" applyBorder="1" applyAlignment="1">
      <alignment vertical="center" wrapText="1"/>
    </xf>
    <xf numFmtId="0" fontId="43" fillId="2" borderId="1" xfId="0" applyFont="1" applyFill="1" applyBorder="1" applyAlignment="1">
      <alignment horizontal="center" vertical="top"/>
    </xf>
    <xf numFmtId="2" fontId="6" fillId="2" borderId="1" xfId="0" applyNumberFormat="1" applyFont="1" applyFill="1" applyBorder="1" applyAlignment="1">
      <alignment horizontal="center" vertical="top"/>
    </xf>
    <xf numFmtId="2" fontId="7" fillId="2" borderId="1" xfId="0" applyNumberFormat="1" applyFont="1" applyFill="1" applyBorder="1" applyAlignment="1">
      <alignment horizontal="center" vertical="top" wrapText="1"/>
    </xf>
    <xf numFmtId="2" fontId="39" fillId="0" borderId="1" xfId="0" applyNumberFormat="1" applyFont="1" applyBorder="1" applyAlignment="1">
      <alignment horizontal="center" vertical="top" wrapText="1"/>
    </xf>
    <xf numFmtId="165" fontId="6" fillId="2" borderId="1" xfId="0" applyNumberFormat="1" applyFont="1" applyFill="1" applyBorder="1" applyAlignment="1">
      <alignment horizontal="center" vertical="top"/>
    </xf>
    <xf numFmtId="165" fontId="7" fillId="2" borderId="1" xfId="0" applyNumberFormat="1" applyFont="1" applyFill="1" applyBorder="1" applyAlignment="1">
      <alignment horizontal="center" vertical="top" wrapText="1"/>
    </xf>
    <xf numFmtId="165" fontId="3" fillId="0" borderId="1" xfId="0" applyNumberFormat="1" applyFont="1" applyBorder="1" applyAlignment="1">
      <alignment horizontal="center" vertical="top"/>
    </xf>
    <xf numFmtId="165" fontId="9" fillId="0" borderId="1" xfId="0" applyNumberFormat="1" applyFont="1" applyBorder="1" applyAlignment="1">
      <alignment horizontal="center" vertical="top" wrapText="1"/>
    </xf>
    <xf numFmtId="165" fontId="4" fillId="0" borderId="1" xfId="0" applyNumberFormat="1" applyFont="1" applyBorder="1" applyAlignment="1">
      <alignment horizontal="center" vertical="top"/>
    </xf>
    <xf numFmtId="0" fontId="9" fillId="0" borderId="1" xfId="0" applyFont="1" applyBorder="1" applyAlignment="1">
      <alignment horizontal="center"/>
    </xf>
    <xf numFmtId="2" fontId="9" fillId="0" borderId="1" xfId="0" applyNumberFormat="1" applyFont="1" applyBorder="1" applyAlignment="1">
      <alignment horizontal="center"/>
    </xf>
    <xf numFmtId="2" fontId="9" fillId="0" borderId="1" xfId="0" applyNumberFormat="1" applyFont="1" applyBorder="1" applyAlignment="1">
      <alignment horizontal="center" wrapText="1"/>
    </xf>
    <xf numFmtId="0" fontId="9" fillId="0" borderId="1" xfId="0" applyFont="1" applyBorder="1" applyAlignment="1">
      <alignment horizontal="justify" vertical="justify" wrapText="1"/>
    </xf>
    <xf numFmtId="0" fontId="39" fillId="0" borderId="1" xfId="0" applyFont="1" applyBorder="1" applyAlignment="1">
      <alignment horizontal="left"/>
    </xf>
    <xf numFmtId="0" fontId="45" fillId="0" borderId="1" xfId="0" applyFont="1" applyBorder="1" applyAlignment="1">
      <alignment horizontal="justify" vertical="top" wrapText="1"/>
    </xf>
    <xf numFmtId="2" fontId="9" fillId="0" borderId="1" xfId="0" applyNumberFormat="1" applyFont="1" applyBorder="1" applyAlignment="1">
      <alignment horizontal="center" vertical="center"/>
    </xf>
    <xf numFmtId="0" fontId="3" fillId="4" borderId="1" xfId="4" applyFont="1" applyFill="1" applyBorder="1" applyAlignment="1">
      <alignment horizontal="center" vertical="top"/>
    </xf>
    <xf numFmtId="1" fontId="37" fillId="4" borderId="1" xfId="4" applyNumberFormat="1" applyFont="1" applyFill="1" applyBorder="1" applyAlignment="1">
      <alignment horizontal="center" vertical="top" wrapText="1"/>
    </xf>
    <xf numFmtId="1" fontId="3" fillId="4" borderId="1" xfId="4" applyNumberFormat="1" applyFont="1" applyFill="1" applyBorder="1" applyAlignment="1">
      <alignment horizontal="center" vertical="top"/>
    </xf>
    <xf numFmtId="0" fontId="3" fillId="4" borderId="1" xfId="4" applyFont="1" applyFill="1" applyBorder="1" applyAlignment="1">
      <alignment horizontal="justify" vertical="top" wrapText="1"/>
    </xf>
    <xf numFmtId="0" fontId="4" fillId="4" borderId="1" xfId="4" applyFont="1" applyFill="1" applyBorder="1" applyAlignment="1">
      <alignment horizontal="center" vertical="top" wrapText="1"/>
    </xf>
    <xf numFmtId="1" fontId="4" fillId="4" borderId="1" xfId="4" applyNumberFormat="1" applyFont="1" applyFill="1" applyBorder="1" applyAlignment="1">
      <alignment horizontal="center" vertical="top" wrapText="1"/>
    </xf>
    <xf numFmtId="2" fontId="3" fillId="4" borderId="1" xfId="4" applyNumberFormat="1" applyFont="1" applyFill="1" applyBorder="1" applyAlignment="1">
      <alignment horizontal="center" vertical="top"/>
    </xf>
    <xf numFmtId="2" fontId="9" fillId="0" borderId="1" xfId="4" applyNumberFormat="1" applyFont="1" applyBorder="1" applyAlignment="1">
      <alignment horizontal="center" vertical="center"/>
    </xf>
    <xf numFmtId="0" fontId="3" fillId="4" borderId="1" xfId="4" applyFont="1" applyFill="1" applyBorder="1" applyAlignment="1">
      <alignment horizontal="justify" wrapText="1"/>
    </xf>
    <xf numFmtId="0" fontId="3" fillId="0" borderId="1" xfId="0" applyFont="1" applyBorder="1" applyAlignment="1">
      <alignment horizontal="right" vertical="top" wrapText="1"/>
    </xf>
    <xf numFmtId="0" fontId="19" fillId="0" borderId="1" xfId="5" applyFont="1" applyBorder="1" applyAlignment="1">
      <alignment horizontal="center" vertical="top"/>
    </xf>
    <xf numFmtId="0" fontId="19" fillId="0" borderId="1" xfId="5" applyFont="1" applyBorder="1" applyAlignment="1">
      <alignment horizontal="justify" vertical="top" wrapText="1"/>
    </xf>
    <xf numFmtId="0" fontId="46" fillId="0" borderId="1" xfId="5" applyFont="1" applyBorder="1" applyAlignment="1">
      <alignment horizontal="justify" vertical="top"/>
    </xf>
    <xf numFmtId="0" fontId="19" fillId="0" borderId="1" xfId="5" applyFont="1" applyBorder="1" applyAlignment="1">
      <alignment horizontal="center" vertical="top" wrapText="1"/>
    </xf>
    <xf numFmtId="1" fontId="19" fillId="0" borderId="1" xfId="5" applyNumberFormat="1" applyFont="1" applyBorder="1" applyAlignment="1">
      <alignment horizontal="center" vertical="top" wrapText="1"/>
    </xf>
    <xf numFmtId="2" fontId="19" fillId="0" borderId="1" xfId="5" applyNumberFormat="1" applyFont="1" applyBorder="1" applyAlignment="1">
      <alignment horizontal="justify" vertical="top"/>
    </xf>
    <xf numFmtId="2" fontId="19" fillId="0" borderId="1" xfId="2" applyNumberFormat="1" applyFont="1" applyBorder="1" applyAlignment="1">
      <alignment horizontal="center" vertical="center"/>
    </xf>
    <xf numFmtId="0" fontId="47" fillId="0" borderId="1" xfId="5" applyFont="1" applyBorder="1" applyAlignment="1">
      <alignment horizontal="center" vertical="center"/>
    </xf>
    <xf numFmtId="2" fontId="19" fillId="0" borderId="1" xfId="2" applyNumberFormat="1" applyFont="1" applyBorder="1" applyAlignment="1">
      <alignment horizontal="justify" vertical="top"/>
    </xf>
    <xf numFmtId="2" fontId="47" fillId="0" borderId="1" xfId="5" applyNumberFormat="1" applyFont="1" applyBorder="1" applyAlignment="1">
      <alignment horizontal="center" vertical="center"/>
    </xf>
    <xf numFmtId="2" fontId="11" fillId="0" borderId="1" xfId="0" applyNumberFormat="1" applyFont="1" applyBorder="1" applyAlignment="1">
      <alignment horizontal="center" vertical="center"/>
    </xf>
    <xf numFmtId="2" fontId="12" fillId="0" borderId="1" xfId="0" applyNumberFormat="1" applyFont="1" applyBorder="1" applyAlignment="1">
      <alignment horizontal="center" vertical="center"/>
    </xf>
    <xf numFmtId="0" fontId="48" fillId="5" borderId="1" xfId="0" applyFont="1" applyFill="1" applyBorder="1" applyAlignment="1">
      <alignment horizontal="center" vertical="top" wrapText="1"/>
    </xf>
    <xf numFmtId="0" fontId="49" fillId="5" borderId="1" xfId="0" applyFont="1" applyFill="1" applyBorder="1" applyAlignment="1">
      <alignment horizontal="center" vertical="top" wrapText="1"/>
    </xf>
    <xf numFmtId="0" fontId="49" fillId="5" borderId="1" xfId="0" applyFont="1" applyFill="1" applyBorder="1" applyAlignment="1">
      <alignment horizontal="center" vertical="top"/>
    </xf>
    <xf numFmtId="0" fontId="50" fillId="5" borderId="1" xfId="0" applyFont="1" applyFill="1" applyBorder="1" applyAlignment="1">
      <alignment horizontal="center" vertical="top"/>
    </xf>
    <xf numFmtId="0" fontId="51" fillId="5" borderId="1" xfId="0" applyFont="1" applyFill="1" applyBorder="1" applyAlignment="1">
      <alignment horizontal="center" vertical="top"/>
    </xf>
    <xf numFmtId="0" fontId="52" fillId="5" borderId="1" xfId="0" applyFont="1" applyFill="1" applyBorder="1" applyAlignment="1">
      <alignment horizontal="center" vertical="top"/>
    </xf>
    <xf numFmtId="0" fontId="48" fillId="0" borderId="1" xfId="0" applyFont="1" applyBorder="1" applyAlignment="1">
      <alignment horizontal="center" vertical="top" wrapText="1"/>
    </xf>
    <xf numFmtId="0" fontId="49" fillId="0" borderId="1" xfId="0" applyFont="1" applyBorder="1" applyAlignment="1">
      <alignment horizontal="center" vertical="top" wrapText="1"/>
    </xf>
    <xf numFmtId="0" fontId="49" fillId="0" borderId="1" xfId="0" applyFont="1" applyBorder="1" applyAlignment="1">
      <alignment horizontal="center" vertical="top"/>
    </xf>
    <xf numFmtId="0" fontId="53" fillId="0" borderId="1" xfId="0" applyFont="1" applyBorder="1" applyAlignment="1">
      <alignment horizontal="center" vertical="top" wrapText="1"/>
    </xf>
    <xf numFmtId="0" fontId="49" fillId="0" borderId="1" xfId="0" applyFont="1" applyBorder="1" applyAlignment="1">
      <alignment vertical="top"/>
    </xf>
    <xf numFmtId="0" fontId="48" fillId="0" borderId="1" xfId="0" applyFont="1" applyBorder="1" applyAlignment="1">
      <alignment vertical="top" wrapText="1"/>
    </xf>
    <xf numFmtId="0" fontId="53" fillId="0" borderId="1" xfId="0" applyFont="1" applyBorder="1" applyAlignment="1">
      <alignment vertical="top" wrapText="1"/>
    </xf>
    <xf numFmtId="2" fontId="49" fillId="0" borderId="1" xfId="0" applyNumberFormat="1" applyFont="1" applyBorder="1" applyAlignment="1">
      <alignment horizontal="center" vertical="top" wrapText="1"/>
    </xf>
    <xf numFmtId="1" fontId="49" fillId="0" borderId="1" xfId="0" applyNumberFormat="1" applyFont="1" applyBorder="1" applyAlignment="1">
      <alignment horizontal="center" vertical="top" wrapText="1"/>
    </xf>
    <xf numFmtId="2" fontId="49" fillId="0" borderId="1" xfId="0" applyNumberFormat="1" applyFont="1" applyBorder="1" applyAlignment="1">
      <alignment horizontal="center" vertical="top"/>
    </xf>
    <xf numFmtId="2" fontId="53" fillId="0" borderId="1" xfId="0" applyNumberFormat="1" applyFont="1" applyBorder="1" applyAlignment="1">
      <alignment horizontal="center" vertical="top"/>
    </xf>
    <xf numFmtId="2" fontId="48" fillId="0" borderId="1" xfId="0" applyNumberFormat="1" applyFont="1" applyBorder="1" applyAlignment="1">
      <alignment horizontal="left" vertical="top"/>
    </xf>
    <xf numFmtId="4" fontId="49" fillId="0" borderId="1" xfId="0" applyNumberFormat="1" applyFont="1" applyBorder="1" applyAlignment="1">
      <alignment horizontal="center" vertical="top" wrapText="1"/>
    </xf>
    <xf numFmtId="2" fontId="48" fillId="0" borderId="1" xfId="0" applyNumberFormat="1" applyFont="1" applyBorder="1" applyAlignment="1">
      <alignment horizontal="center" vertical="top"/>
    </xf>
    <xf numFmtId="0" fontId="48" fillId="0" borderId="1" xfId="0" applyFont="1" applyBorder="1" applyAlignment="1">
      <alignment horizontal="left" vertical="top" wrapText="1"/>
    </xf>
    <xf numFmtId="0" fontId="49" fillId="0" borderId="1" xfId="0" applyFont="1" applyBorder="1" applyAlignment="1">
      <alignment horizontal="justify" vertical="top" wrapText="1"/>
    </xf>
    <xf numFmtId="0" fontId="49" fillId="0" borderId="1" xfId="0" applyFont="1" applyBorder="1" applyAlignment="1">
      <alignment vertical="top" wrapText="1"/>
    </xf>
    <xf numFmtId="0" fontId="54" fillId="0" borderId="1" xfId="0" applyFont="1" applyBorder="1" applyAlignment="1">
      <alignment horizontal="center" vertical="top"/>
    </xf>
    <xf numFmtId="0" fontId="48" fillId="0" borderId="1" xfId="0" applyFont="1" applyBorder="1" applyAlignment="1">
      <alignment horizontal="justify" vertical="top" wrapText="1"/>
    </xf>
    <xf numFmtId="1" fontId="48" fillId="0" borderId="1" xfId="0" applyNumberFormat="1" applyFont="1" applyBorder="1" applyAlignment="1">
      <alignment horizontal="center" vertical="top" wrapText="1"/>
    </xf>
    <xf numFmtId="10" fontId="49" fillId="0" borderId="1" xfId="0" applyNumberFormat="1" applyFont="1" applyBorder="1" applyAlignment="1">
      <alignment horizontal="center" vertical="top"/>
    </xf>
    <xf numFmtId="2" fontId="55" fillId="0" borderId="1" xfId="0" applyNumberFormat="1" applyFont="1" applyBorder="1" applyAlignment="1">
      <alignment horizontal="center" vertical="top"/>
    </xf>
    <xf numFmtId="2" fontId="53" fillId="0" borderId="1" xfId="0" applyNumberFormat="1" applyFont="1" applyBorder="1" applyAlignment="1">
      <alignment horizontal="center" vertical="top" wrapText="1"/>
    </xf>
    <xf numFmtId="2" fontId="48" fillId="0" borderId="1" xfId="0" applyNumberFormat="1" applyFont="1" applyBorder="1" applyAlignment="1">
      <alignment horizontal="center" vertical="top" wrapText="1"/>
    </xf>
    <xf numFmtId="4" fontId="48" fillId="0" borderId="1" xfId="0" applyNumberFormat="1" applyFont="1" applyBorder="1" applyAlignment="1">
      <alignment horizontal="center" vertical="top" wrapText="1"/>
    </xf>
    <xf numFmtId="2" fontId="56" fillId="0" borderId="1" xfId="0" applyNumberFormat="1" applyFont="1" applyBorder="1" applyAlignment="1">
      <alignment horizontal="center" vertical="top"/>
    </xf>
    <xf numFmtId="2" fontId="57" fillId="0" borderId="1" xfId="0" applyNumberFormat="1" applyFont="1" applyBorder="1" applyAlignment="1">
      <alignment horizontal="center" vertical="top"/>
    </xf>
    <xf numFmtId="0" fontId="53" fillId="5" borderId="1" xfId="0" applyFont="1" applyFill="1" applyBorder="1" applyAlignment="1">
      <alignment horizontal="center" vertical="top" wrapText="1"/>
    </xf>
    <xf numFmtId="0" fontId="53" fillId="5" borderId="1" xfId="0" applyFont="1" applyFill="1" applyBorder="1" applyAlignment="1">
      <alignment horizontal="center" vertical="top"/>
    </xf>
    <xf numFmtId="0" fontId="53" fillId="0" borderId="1" xfId="0" applyFont="1" applyBorder="1" applyAlignment="1">
      <alignment horizontal="center" vertical="top"/>
    </xf>
    <xf numFmtId="4" fontId="53" fillId="0" borderId="1" xfId="0" applyNumberFormat="1" applyFont="1" applyBorder="1" applyAlignment="1">
      <alignment horizontal="center" vertical="top" wrapText="1"/>
    </xf>
    <xf numFmtId="1" fontId="53" fillId="0" borderId="1" xfId="0" applyNumberFormat="1" applyFont="1" applyBorder="1" applyAlignment="1">
      <alignment horizontal="center" vertical="top" wrapText="1"/>
    </xf>
    <xf numFmtId="1" fontId="53" fillId="0" borderId="1" xfId="0" applyNumberFormat="1" applyFont="1" applyBorder="1" applyAlignment="1">
      <alignment horizontal="center" vertical="top"/>
    </xf>
    <xf numFmtId="0" fontId="53" fillId="0" borderId="1" xfId="0" applyFont="1" applyBorder="1" applyAlignment="1">
      <alignment horizontal="justify" vertical="top" wrapText="1"/>
    </xf>
    <xf numFmtId="2" fontId="53" fillId="0" borderId="1" xfId="0" applyNumberFormat="1" applyFont="1" applyBorder="1" applyAlignment="1">
      <alignment horizontal="left" vertical="top"/>
    </xf>
    <xf numFmtId="0" fontId="53" fillId="0" borderId="1" xfId="0" applyFont="1" applyBorder="1" applyAlignment="1">
      <alignment horizontal="left" vertical="top" wrapText="1"/>
    </xf>
    <xf numFmtId="2" fontId="53" fillId="0" borderId="1" xfId="0" applyNumberFormat="1" applyFont="1" applyBorder="1" applyAlignment="1">
      <alignment horizontal="justify" vertical="top" wrapText="1"/>
    </xf>
    <xf numFmtId="0" fontId="58" fillId="5" borderId="1" xfId="0" applyFont="1" applyFill="1" applyBorder="1" applyAlignment="1">
      <alignment horizontal="center" vertical="top" wrapText="1"/>
    </xf>
    <xf numFmtId="0" fontId="58" fillId="0" borderId="1" xfId="0" applyFont="1" applyBorder="1" applyAlignment="1">
      <alignment horizontal="center" vertical="top" wrapText="1"/>
    </xf>
    <xf numFmtId="0" fontId="16" fillId="0" borderId="1" xfId="0" applyFont="1" applyBorder="1" applyAlignment="1">
      <alignment horizontal="center" vertical="top" wrapText="1"/>
    </xf>
    <xf numFmtId="1" fontId="48" fillId="0" borderId="1" xfId="0" applyNumberFormat="1" applyFont="1" applyBorder="1" applyAlignment="1">
      <alignment horizontal="center" vertical="top"/>
    </xf>
    <xf numFmtId="0" fontId="48" fillId="0" borderId="1" xfId="0" applyFont="1" applyBorder="1" applyAlignment="1">
      <alignment horizontal="center" vertical="top"/>
    </xf>
    <xf numFmtId="0" fontId="59" fillId="5" borderId="1" xfId="0" applyFont="1" applyFill="1" applyBorder="1" applyAlignment="1">
      <alignment horizontal="center" vertical="top" wrapText="1"/>
    </xf>
    <xf numFmtId="0" fontId="60" fillId="5" borderId="1" xfId="0" applyFont="1" applyFill="1" applyBorder="1" applyAlignment="1">
      <alignment horizontal="center" vertical="top" wrapText="1"/>
    </xf>
    <xf numFmtId="0" fontId="60" fillId="5" borderId="1" xfId="0" applyFont="1" applyFill="1" applyBorder="1" applyAlignment="1">
      <alignment vertical="top"/>
    </xf>
    <xf numFmtId="0" fontId="61" fillId="5" borderId="1" xfId="0" applyFont="1" applyFill="1" applyBorder="1" applyAlignment="1">
      <alignment horizontal="center" vertical="top" wrapText="1"/>
    </xf>
    <xf numFmtId="0" fontId="62" fillId="5" borderId="1" xfId="0" applyFont="1" applyFill="1" applyBorder="1" applyAlignment="1">
      <alignment horizontal="center" vertical="top" wrapText="1"/>
    </xf>
    <xf numFmtId="0" fontId="63" fillId="0" borderId="1" xfId="0" applyFont="1" applyBorder="1" applyAlignment="1">
      <alignment horizontal="center" vertical="top" wrapText="1"/>
    </xf>
    <xf numFmtId="0" fontId="39" fillId="0" borderId="1" xfId="0" applyFont="1" applyBorder="1" applyAlignment="1">
      <alignment horizontal="center" vertical="top" wrapText="1"/>
    </xf>
    <xf numFmtId="0" fontId="63" fillId="0" borderId="1" xfId="0" applyFont="1" applyBorder="1" applyAlignment="1">
      <alignment horizontal="center" vertical="top"/>
    </xf>
    <xf numFmtId="0" fontId="53" fillId="0" borderId="1" xfId="0" applyFont="1" applyBorder="1" applyAlignment="1">
      <alignment horizontal="left" vertical="top"/>
    </xf>
    <xf numFmtId="0" fontId="53" fillId="0" borderId="1" xfId="0" applyFont="1" applyBorder="1" applyAlignment="1">
      <alignment wrapText="1"/>
    </xf>
    <xf numFmtId="0" fontId="0" fillId="0" borderId="1" xfId="0" applyFont="1" applyBorder="1" applyAlignment="1">
      <alignment horizontal="center" vertical="top"/>
    </xf>
    <xf numFmtId="0" fontId="53" fillId="0" borderId="1" xfId="0" applyFont="1" applyBorder="1" applyAlignment="1">
      <alignment vertical="top"/>
    </xf>
    <xf numFmtId="2" fontId="53" fillId="0" borderId="1" xfId="0" applyNumberFormat="1" applyFont="1" applyBorder="1" applyAlignment="1">
      <alignment vertical="top"/>
    </xf>
    <xf numFmtId="2" fontId="39" fillId="0" borderId="1" xfId="0" applyNumberFormat="1" applyFont="1" applyBorder="1" applyAlignment="1">
      <alignment horizontal="center" vertical="top"/>
    </xf>
    <xf numFmtId="0" fontId="45" fillId="0" borderId="1" xfId="0" applyFont="1" applyBorder="1" applyAlignment="1">
      <alignment horizontal="center" vertical="top" wrapText="1"/>
    </xf>
    <xf numFmtId="0" fontId="3" fillId="0" borderId="1" xfId="0" applyFont="1" applyFill="1" applyBorder="1" applyAlignment="1">
      <alignment horizontal="center" vertical="top" wrapText="1"/>
    </xf>
    <xf numFmtId="1" fontId="17" fillId="0" borderId="1" xfId="0" applyNumberFormat="1" applyFont="1" applyFill="1" applyBorder="1" applyAlignment="1">
      <alignment horizontal="center" vertical="top" wrapText="1"/>
    </xf>
    <xf numFmtId="1" fontId="17" fillId="0" borderId="1" xfId="0" applyNumberFormat="1" applyFont="1" applyFill="1" applyBorder="1" applyAlignment="1">
      <alignment horizontal="center" vertical="top"/>
    </xf>
    <xf numFmtId="0" fontId="9" fillId="0" borderId="1" xfId="0" applyFont="1" applyFill="1" applyBorder="1" applyAlignment="1">
      <alignment vertical="top" wrapText="1"/>
    </xf>
    <xf numFmtId="0" fontId="3" fillId="6" borderId="1" xfId="0" applyFont="1" applyFill="1" applyBorder="1" applyAlignment="1">
      <alignment horizontal="center" vertical="top" wrapText="1"/>
    </xf>
    <xf numFmtId="0" fontId="17" fillId="6" borderId="1" xfId="0" applyFont="1" applyFill="1" applyBorder="1" applyAlignment="1">
      <alignment horizontal="center" vertical="top" wrapText="1"/>
    </xf>
    <xf numFmtId="0" fontId="17" fillId="6" borderId="1" xfId="0" applyFont="1" applyFill="1" applyBorder="1" applyAlignment="1">
      <alignment horizontal="center" vertical="top"/>
    </xf>
    <xf numFmtId="0" fontId="5" fillId="6" borderId="1" xfId="0" applyFont="1" applyFill="1" applyBorder="1" applyAlignment="1">
      <alignment horizontal="center" vertical="top"/>
    </xf>
    <xf numFmtId="0" fontId="6" fillId="6" borderId="1" xfId="0" applyFont="1" applyFill="1" applyBorder="1" applyAlignment="1">
      <alignment horizontal="center" vertical="top"/>
    </xf>
    <xf numFmtId="0" fontId="7" fillId="6" borderId="1" xfId="0" applyFont="1" applyFill="1" applyBorder="1" applyAlignment="1">
      <alignment horizontal="center" vertical="top"/>
    </xf>
    <xf numFmtId="4" fontId="17" fillId="0" borderId="1" xfId="0" applyNumberFormat="1" applyFont="1" applyBorder="1" applyAlignment="1">
      <alignment horizontal="center" vertical="top" wrapText="1"/>
    </xf>
    <xf numFmtId="0" fontId="64" fillId="0" borderId="1" xfId="0" applyFont="1" applyBorder="1" applyAlignment="1">
      <alignment horizontal="center" vertical="top"/>
    </xf>
    <xf numFmtId="2" fontId="17" fillId="0" borderId="1" xfId="0" applyNumberFormat="1" applyFont="1" applyBorder="1" applyAlignment="1">
      <alignment horizontal="left" vertical="top"/>
    </xf>
    <xf numFmtId="0" fontId="2" fillId="2" borderId="1" xfId="0" applyFont="1" applyFill="1" applyBorder="1"/>
    <xf numFmtId="0" fontId="2" fillId="2" borderId="1" xfId="0" applyFont="1" applyFill="1" applyBorder="1" applyAlignment="1">
      <alignment wrapText="1"/>
    </xf>
    <xf numFmtId="0" fontId="65" fillId="2" borderId="1" xfId="0" applyFont="1" applyFill="1" applyBorder="1" applyAlignment="1">
      <alignment vertical="top"/>
    </xf>
    <xf numFmtId="0" fontId="65" fillId="2" borderId="1" xfId="0" applyFont="1" applyFill="1" applyBorder="1" applyAlignment="1">
      <alignment vertical="top" wrapText="1"/>
    </xf>
    <xf numFmtId="0" fontId="66" fillId="2" borderId="1" xfId="0" applyFont="1" applyFill="1" applyBorder="1" applyAlignment="1">
      <alignment vertical="top" wrapText="1"/>
    </xf>
    <xf numFmtId="0" fontId="0" fillId="0" borderId="1" xfId="0" applyBorder="1"/>
    <xf numFmtId="0" fontId="0" fillId="0" borderId="1" xfId="0" applyBorder="1" applyAlignment="1">
      <alignment wrapText="1"/>
    </xf>
    <xf numFmtId="0" fontId="67" fillId="0" borderId="1" xfId="0" applyFont="1" applyBorder="1" applyAlignment="1">
      <alignment horizontal="center" vertical="top"/>
    </xf>
    <xf numFmtId="166" fontId="68" fillId="0" borderId="1" xfId="0" applyNumberFormat="1" applyFont="1" applyBorder="1" applyAlignment="1">
      <alignment horizontal="center" vertical="top"/>
    </xf>
    <xf numFmtId="2" fontId="68" fillId="0" borderId="1" xfId="0" applyNumberFormat="1" applyFont="1" applyBorder="1" applyAlignment="1">
      <alignment horizontal="center" vertical="top"/>
    </xf>
    <xf numFmtId="0" fontId="68" fillId="0" borderId="1" xfId="0" applyFont="1" applyBorder="1" applyAlignment="1">
      <alignment horizontal="center" vertical="top"/>
    </xf>
    <xf numFmtId="2" fontId="69" fillId="0" borderId="1" xfId="0" applyNumberFormat="1" applyFont="1" applyBorder="1" applyAlignment="1">
      <alignment horizontal="center" vertical="top"/>
    </xf>
    <xf numFmtId="49" fontId="14" fillId="3" borderId="1" xfId="0" applyNumberFormat="1" applyFont="1" applyFill="1" applyBorder="1" applyAlignment="1">
      <alignment horizontal="center" vertical="top"/>
    </xf>
    <xf numFmtId="49" fontId="15" fillId="3" borderId="1" xfId="0" applyNumberFormat="1" applyFont="1" applyFill="1" applyBorder="1" applyAlignment="1">
      <alignment horizontal="center" vertical="top"/>
    </xf>
    <xf numFmtId="0" fontId="0" fillId="2" borderId="1" xfId="0" applyFill="1" applyBorder="1"/>
    <xf numFmtId="0" fontId="0" fillId="2" borderId="1" xfId="0" applyFill="1" applyBorder="1" applyAlignment="1">
      <alignment wrapText="1"/>
    </xf>
    <xf numFmtId="0" fontId="66" fillId="2" borderId="1" xfId="0" applyFont="1" applyFill="1" applyBorder="1" applyAlignment="1">
      <alignment vertical="center"/>
    </xf>
    <xf numFmtId="0" fontId="43" fillId="6" borderId="1" xfId="0" applyFont="1" applyFill="1" applyBorder="1" applyAlignment="1">
      <alignment horizontal="center" vertical="top"/>
    </xf>
    <xf numFmtId="0" fontId="66" fillId="2" borderId="1" xfId="0" applyFont="1" applyFill="1" applyBorder="1" applyAlignment="1">
      <alignment vertical="center" wrapText="1"/>
    </xf>
    <xf numFmtId="0" fontId="70" fillId="0" borderId="1" xfId="0" applyFont="1" applyBorder="1" applyAlignment="1">
      <alignment horizontal="left" vertical="top" wrapText="1"/>
    </xf>
    <xf numFmtId="0" fontId="70" fillId="0" borderId="1" xfId="0" applyFont="1" applyBorder="1" applyAlignment="1">
      <alignment horizontal="justify" vertical="top" wrapText="1"/>
    </xf>
    <xf numFmtId="0" fontId="0" fillId="0" borderId="0" xfId="0" applyAlignment="1">
      <alignment wrapText="1"/>
    </xf>
    <xf numFmtId="0" fontId="71" fillId="0" borderId="0" xfId="0" applyFont="1"/>
    <xf numFmtId="0" fontId="72" fillId="8" borderId="1" xfId="0" applyFont="1" applyFill="1" applyBorder="1" applyAlignment="1">
      <alignment horizontal="left"/>
    </xf>
    <xf numFmtId="0" fontId="72" fillId="8" borderId="1" xfId="0" applyFont="1" applyFill="1" applyBorder="1" applyAlignment="1">
      <alignment horizontal="center"/>
    </xf>
    <xf numFmtId="0" fontId="0" fillId="0" borderId="0" xfId="0" applyAlignment="1">
      <alignment horizontal="center"/>
    </xf>
    <xf numFmtId="0" fontId="0" fillId="7" borderId="0" xfId="0" applyFill="1" applyAlignment="1">
      <alignment horizontal="center"/>
    </xf>
    <xf numFmtId="0" fontId="49" fillId="0" borderId="1" xfId="0" applyFont="1" applyBorder="1" applyAlignment="1">
      <alignment horizontal="center" vertical="top" wrapText="1"/>
    </xf>
  </cellXfs>
  <cellStyles count="6">
    <cellStyle name="Normal" xfId="0" builtinId="0"/>
    <cellStyle name="Normal 10" xfId="5" xr:uid="{FBAA9B39-9980-4F5E-A2C0-E30EEE4D4F83}"/>
    <cellStyle name="Normal 2" xfId="1" xr:uid="{3B6C5D83-1B43-44DF-920A-E810BDC2CECE}"/>
    <cellStyle name="Normal 5" xfId="3" xr:uid="{97D72B5F-1873-4FAF-8226-39713828F459}"/>
    <cellStyle name="Normal 9 6 2" xfId="4" xr:uid="{42C8893C-1C34-42FF-9A84-0B00A05CAACA}"/>
    <cellStyle name="Style 1" xfId="2" xr:uid="{810C9FD9-7061-4691-8160-1479A397D9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3</xdr:col>
      <xdr:colOff>2819400</xdr:colOff>
      <xdr:row>1280</xdr:row>
      <xdr:rowOff>182671</xdr:rowOff>
    </xdr:from>
    <xdr:ext cx="3210" cy="149659"/>
    <xdr:sp macro="" textlink="">
      <xdr:nvSpPr>
        <xdr:cNvPr id="2" name="Text Box 28">
          <a:extLst>
            <a:ext uri="{FF2B5EF4-FFF2-40B4-BE49-F238E27FC236}">
              <a16:creationId xmlns:a16="http://schemas.microsoft.com/office/drawing/2014/main" id="{CBF59075-76E8-46E5-AEAA-1B6FF8FF03CB}"/>
            </a:ext>
          </a:extLst>
        </xdr:cNvPr>
        <xdr:cNvSpPr txBox="1">
          <a:spLocks noChangeArrowheads="1"/>
        </xdr:cNvSpPr>
      </xdr:nvSpPr>
      <xdr:spPr bwMode="auto">
        <a:xfrm>
          <a:off x="4505325" y="363447121"/>
          <a:ext cx="3210" cy="1496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2819400</xdr:colOff>
      <xdr:row>1302</xdr:row>
      <xdr:rowOff>182671</xdr:rowOff>
    </xdr:from>
    <xdr:ext cx="3210" cy="149659"/>
    <xdr:sp macro="" textlink="">
      <xdr:nvSpPr>
        <xdr:cNvPr id="3" name="Text Box 28">
          <a:extLst>
            <a:ext uri="{FF2B5EF4-FFF2-40B4-BE49-F238E27FC236}">
              <a16:creationId xmlns:a16="http://schemas.microsoft.com/office/drawing/2014/main" id="{5C8E3292-FC74-440F-9F17-CA78EF0352B4}"/>
            </a:ext>
          </a:extLst>
        </xdr:cNvPr>
        <xdr:cNvSpPr txBox="1">
          <a:spLocks noChangeArrowheads="1"/>
        </xdr:cNvSpPr>
      </xdr:nvSpPr>
      <xdr:spPr bwMode="auto">
        <a:xfrm>
          <a:off x="4505325" y="373143571"/>
          <a:ext cx="3210" cy="1496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1304"/>
  <sheetViews>
    <sheetView topLeftCell="A118" workbookViewId="0">
      <selection activeCell="D129" sqref="D129"/>
    </sheetView>
  </sheetViews>
  <sheetFormatPr defaultRowHeight="15"/>
  <cols>
    <col min="1" max="1" width="8" customWidth="1"/>
    <col min="3" max="3" width="8.140625" customWidth="1"/>
    <col min="4" max="4" width="58.140625" customWidth="1"/>
    <col min="5" max="5" width="7" bestFit="1" customWidth="1"/>
    <col min="6" max="6" width="5" bestFit="1" customWidth="1"/>
    <col min="7" max="7" width="10.85546875" bestFit="1" customWidth="1"/>
    <col min="8" max="8" width="4.7109375" bestFit="1" customWidth="1"/>
    <col min="9" max="9" width="10.85546875" bestFit="1" customWidth="1"/>
    <col min="10" max="10" width="11.85546875" customWidth="1"/>
  </cols>
  <sheetData>
    <row r="1" spans="1:10">
      <c r="A1" s="1"/>
      <c r="B1" s="2"/>
      <c r="C1" s="3"/>
      <c r="D1" s="4" t="s">
        <v>0</v>
      </c>
      <c r="E1" s="5"/>
      <c r="F1" s="5"/>
      <c r="G1" s="5"/>
      <c r="H1" s="5"/>
      <c r="I1" s="5"/>
      <c r="J1" s="6"/>
    </row>
    <row r="2" spans="1:10">
      <c r="A2" s="7"/>
      <c r="B2" s="8"/>
      <c r="C2" s="9"/>
      <c r="D2" s="10" t="s">
        <v>1</v>
      </c>
      <c r="E2" s="11"/>
      <c r="F2" s="11"/>
      <c r="G2" s="11"/>
      <c r="H2" s="11"/>
      <c r="I2" s="11"/>
      <c r="J2" s="12"/>
    </row>
    <row r="3" spans="1:10" ht="89.25">
      <c r="A3" s="13"/>
      <c r="B3" s="14" t="s">
        <v>2</v>
      </c>
      <c r="C3" s="15"/>
      <c r="D3" s="13" t="s">
        <v>3</v>
      </c>
      <c r="E3" s="13"/>
      <c r="F3" s="13"/>
      <c r="G3" s="13"/>
      <c r="H3" s="13"/>
      <c r="I3" s="13"/>
      <c r="J3" s="16"/>
    </row>
    <row r="4" spans="1:10" ht="25.5">
      <c r="A4" s="17"/>
      <c r="B4" s="14"/>
      <c r="C4" s="15"/>
      <c r="D4" s="18" t="s">
        <v>4</v>
      </c>
      <c r="E4" s="19" t="s">
        <v>5</v>
      </c>
      <c r="F4" s="19"/>
      <c r="G4" s="14" t="s">
        <v>6</v>
      </c>
      <c r="H4" s="14"/>
      <c r="I4" s="20" t="s">
        <v>7</v>
      </c>
      <c r="J4" s="21" t="s">
        <v>8</v>
      </c>
    </row>
    <row r="5" spans="1:10">
      <c r="A5" s="17"/>
      <c r="B5" s="14"/>
      <c r="C5" s="22">
        <v>1</v>
      </c>
      <c r="D5" s="23" t="s">
        <v>9</v>
      </c>
      <c r="E5" s="24">
        <v>2</v>
      </c>
      <c r="F5" s="25" t="s">
        <v>10</v>
      </c>
      <c r="G5" s="26">
        <v>1</v>
      </c>
      <c r="H5" s="25" t="s">
        <v>10</v>
      </c>
      <c r="I5" s="20">
        <v>775</v>
      </c>
      <c r="J5" s="21">
        <f>SUM(E5*I5/G5)</f>
        <v>1550</v>
      </c>
    </row>
    <row r="6" spans="1:10" ht="25.5">
      <c r="A6" s="17"/>
      <c r="B6" s="14"/>
      <c r="C6" s="22">
        <v>2</v>
      </c>
      <c r="D6" s="27" t="s">
        <v>11</v>
      </c>
      <c r="E6" s="24">
        <v>2</v>
      </c>
      <c r="F6" s="25" t="s">
        <v>10</v>
      </c>
      <c r="G6" s="26">
        <v>1</v>
      </c>
      <c r="H6" s="25" t="s">
        <v>10</v>
      </c>
      <c r="I6" s="20">
        <v>650</v>
      </c>
      <c r="J6" s="21">
        <f>SUM(E6*I6/G6)</f>
        <v>1300</v>
      </c>
    </row>
    <row r="7" spans="1:10">
      <c r="A7" s="17"/>
      <c r="B7" s="14"/>
      <c r="C7" s="22">
        <v>3</v>
      </c>
      <c r="D7" s="27" t="s">
        <v>12</v>
      </c>
      <c r="E7" s="24">
        <v>2</v>
      </c>
      <c r="F7" s="25" t="s">
        <v>10</v>
      </c>
      <c r="G7" s="26">
        <v>1</v>
      </c>
      <c r="H7" s="25" t="s">
        <v>10</v>
      </c>
      <c r="I7" s="20">
        <v>650</v>
      </c>
      <c r="J7" s="21">
        <f>SUM(E7*I7/G7)</f>
        <v>1300</v>
      </c>
    </row>
    <row r="8" spans="1:10" ht="25.5">
      <c r="A8" s="17"/>
      <c r="B8" s="14"/>
      <c r="C8" s="22">
        <v>4</v>
      </c>
      <c r="D8" s="27" t="s">
        <v>13</v>
      </c>
      <c r="E8" s="24">
        <v>2</v>
      </c>
      <c r="F8" s="25" t="s">
        <v>10</v>
      </c>
      <c r="G8" s="26">
        <v>1</v>
      </c>
      <c r="H8" s="25" t="s">
        <v>10</v>
      </c>
      <c r="I8" s="20">
        <v>680</v>
      </c>
      <c r="J8" s="21">
        <f>SUM(E8*I8/G8)</f>
        <v>1360</v>
      </c>
    </row>
    <row r="9" spans="1:10">
      <c r="A9" s="17"/>
      <c r="B9" s="14"/>
      <c r="C9" s="15"/>
      <c r="D9" s="13" t="s">
        <v>14</v>
      </c>
      <c r="E9" s="24"/>
      <c r="F9" s="17"/>
      <c r="G9" s="26"/>
      <c r="H9" s="17"/>
      <c r="I9" s="28"/>
      <c r="J9" s="21">
        <f>SUM(J5:J8)</f>
        <v>5510</v>
      </c>
    </row>
    <row r="10" spans="1:10">
      <c r="A10" s="17"/>
      <c r="B10" s="29"/>
      <c r="C10" s="30"/>
      <c r="D10" s="13" t="s">
        <v>15</v>
      </c>
      <c r="E10" s="31"/>
      <c r="F10" s="17"/>
      <c r="G10" s="26"/>
      <c r="H10" s="17"/>
      <c r="I10" s="20"/>
      <c r="J10" s="21">
        <f>SUM(J9/100)</f>
        <v>55.1</v>
      </c>
    </row>
    <row r="11" spans="1:10">
      <c r="A11" s="17"/>
      <c r="B11" s="29"/>
      <c r="C11" s="30"/>
      <c r="D11" s="13" t="s">
        <v>16</v>
      </c>
      <c r="E11" s="31"/>
      <c r="F11" s="17"/>
      <c r="G11" s="26"/>
      <c r="H11" s="17"/>
      <c r="I11" s="20"/>
      <c r="J11" s="21">
        <f>J10*0.4</f>
        <v>22.040000000000003</v>
      </c>
    </row>
    <row r="12" spans="1:10">
      <c r="A12" s="17"/>
      <c r="B12" s="29"/>
      <c r="C12" s="30"/>
      <c r="D12" s="13" t="s">
        <v>17</v>
      </c>
      <c r="E12" s="31"/>
      <c r="F12" s="17"/>
      <c r="G12" s="26"/>
      <c r="H12" s="17"/>
      <c r="I12" s="20"/>
      <c r="J12" s="21">
        <f>SUM(J10:J11)</f>
        <v>77.14</v>
      </c>
    </row>
    <row r="13" spans="1:10">
      <c r="A13" s="17"/>
      <c r="B13" s="29"/>
      <c r="C13" s="30"/>
      <c r="D13" s="18" t="s">
        <v>18</v>
      </c>
      <c r="E13" s="24"/>
      <c r="F13" s="17"/>
      <c r="G13" s="26"/>
      <c r="H13" s="17"/>
      <c r="I13" s="20"/>
      <c r="J13" s="21"/>
    </row>
    <row r="14" spans="1:10" ht="22.5">
      <c r="A14" s="17"/>
      <c r="B14" s="32" t="s">
        <v>19</v>
      </c>
      <c r="C14" s="30">
        <v>5</v>
      </c>
      <c r="D14" s="13" t="s">
        <v>20</v>
      </c>
      <c r="E14" s="24">
        <v>50</v>
      </c>
      <c r="F14" s="25" t="s">
        <v>21</v>
      </c>
      <c r="G14" s="26">
        <v>1</v>
      </c>
      <c r="H14" s="25" t="s">
        <v>21</v>
      </c>
      <c r="I14" s="20">
        <v>9</v>
      </c>
      <c r="J14" s="21">
        <f>SUM(E14*I14/G14)</f>
        <v>450</v>
      </c>
    </row>
    <row r="15" spans="1:10" ht="22.5">
      <c r="A15" s="17"/>
      <c r="B15" s="32" t="s">
        <v>22</v>
      </c>
      <c r="C15" s="30">
        <v>6</v>
      </c>
      <c r="D15" s="33" t="s">
        <v>23</v>
      </c>
      <c r="E15" s="24">
        <v>200</v>
      </c>
      <c r="F15" s="25" t="s">
        <v>24</v>
      </c>
      <c r="G15" s="26">
        <v>100</v>
      </c>
      <c r="H15" s="25" t="s">
        <v>24</v>
      </c>
      <c r="I15" s="20">
        <v>44</v>
      </c>
      <c r="J15" s="21">
        <f>SUM(E15*I15/G15)</f>
        <v>88</v>
      </c>
    </row>
    <row r="16" spans="1:10" ht="25.5">
      <c r="A16" s="17"/>
      <c r="B16" s="32" t="s">
        <v>25</v>
      </c>
      <c r="C16" s="30">
        <v>7</v>
      </c>
      <c r="D16" s="18" t="s">
        <v>26</v>
      </c>
      <c r="E16" s="24">
        <v>12</v>
      </c>
      <c r="F16" s="25" t="s">
        <v>24</v>
      </c>
      <c r="G16" s="26">
        <v>1</v>
      </c>
      <c r="H16" s="25" t="s">
        <v>24</v>
      </c>
      <c r="I16" s="34">
        <v>29</v>
      </c>
      <c r="J16" s="21">
        <f>SUM(E16*I16/G16)</f>
        <v>348</v>
      </c>
    </row>
    <row r="17" spans="1:10" ht="22.5">
      <c r="A17" s="17"/>
      <c r="B17" s="32" t="s">
        <v>27</v>
      </c>
      <c r="C17" s="30">
        <v>8</v>
      </c>
      <c r="D17" s="18" t="s">
        <v>28</v>
      </c>
      <c r="E17" s="24">
        <v>12</v>
      </c>
      <c r="F17" s="25" t="s">
        <v>24</v>
      </c>
      <c r="G17" s="26">
        <v>1</v>
      </c>
      <c r="H17" s="25" t="s">
        <v>29</v>
      </c>
      <c r="I17" s="20">
        <v>13</v>
      </c>
      <c r="J17" s="21">
        <f>SUM(E17*I17/G17)</f>
        <v>156</v>
      </c>
    </row>
    <row r="18" spans="1:10" ht="25.5">
      <c r="A18" s="17"/>
      <c r="B18" s="32" t="s">
        <v>30</v>
      </c>
      <c r="C18" s="30">
        <v>9</v>
      </c>
      <c r="D18" s="18" t="s">
        <v>31</v>
      </c>
      <c r="E18" s="24">
        <v>100</v>
      </c>
      <c r="F18" s="17" t="s">
        <v>32</v>
      </c>
      <c r="G18" s="17">
        <v>1</v>
      </c>
      <c r="H18" s="17" t="s">
        <v>32</v>
      </c>
      <c r="I18" s="24">
        <v>34</v>
      </c>
      <c r="J18" s="35">
        <f>SUM(E18*I18/G18)</f>
        <v>3400</v>
      </c>
    </row>
    <row r="19" spans="1:10">
      <c r="A19" s="17"/>
      <c r="B19" s="29"/>
      <c r="C19" s="30"/>
      <c r="D19" s="13" t="s">
        <v>33</v>
      </c>
      <c r="E19" s="31"/>
      <c r="F19" s="31"/>
      <c r="G19" s="31"/>
      <c r="H19" s="31"/>
      <c r="I19" s="31"/>
      <c r="J19" s="21">
        <f>SUM(J14:J18)</f>
        <v>4442</v>
      </c>
    </row>
    <row r="20" spans="1:10">
      <c r="A20" s="17"/>
      <c r="B20" s="29"/>
      <c r="C20" s="30"/>
      <c r="D20" s="13" t="s">
        <v>34</v>
      </c>
      <c r="E20" s="24"/>
      <c r="F20" s="25"/>
      <c r="G20" s="26"/>
      <c r="H20" s="25"/>
      <c r="I20" s="20"/>
      <c r="J20" s="21">
        <f>SUM(J19/100)</f>
        <v>44.42</v>
      </c>
    </row>
    <row r="21" spans="1:10">
      <c r="A21" s="17"/>
      <c r="B21" s="29"/>
      <c r="C21" s="30"/>
      <c r="D21" s="18" t="s">
        <v>35</v>
      </c>
      <c r="E21" s="24"/>
      <c r="F21" s="25"/>
      <c r="G21" s="26"/>
      <c r="H21" s="25"/>
      <c r="I21" s="20"/>
      <c r="J21" s="21">
        <f>J20+J12</f>
        <v>121.56</v>
      </c>
    </row>
    <row r="22" spans="1:10">
      <c r="A22" s="17"/>
      <c r="B22" s="29"/>
      <c r="C22" s="30"/>
      <c r="D22" s="18" t="s">
        <v>36</v>
      </c>
      <c r="E22" s="24"/>
      <c r="F22" s="25"/>
      <c r="G22" s="26"/>
      <c r="H22" s="25"/>
      <c r="I22" s="20"/>
      <c r="J22" s="36">
        <f>(J21)*0.10615</f>
        <v>12.903594</v>
      </c>
    </row>
    <row r="23" spans="1:10">
      <c r="A23" s="17"/>
      <c r="B23" s="29"/>
      <c r="C23" s="30"/>
      <c r="D23" s="18" t="s">
        <v>37</v>
      </c>
      <c r="E23" s="24"/>
      <c r="F23" s="25"/>
      <c r="G23" s="26"/>
      <c r="H23" s="25"/>
      <c r="I23" s="20"/>
      <c r="J23" s="36">
        <f>SUM(J21:J22)</f>
        <v>134.463594</v>
      </c>
    </row>
    <row r="24" spans="1:10">
      <c r="A24" s="17"/>
      <c r="B24" s="29"/>
      <c r="C24" s="30"/>
      <c r="D24" s="18" t="s">
        <v>38</v>
      </c>
      <c r="E24" s="24"/>
      <c r="F24" s="25"/>
      <c r="G24" s="26"/>
      <c r="H24" s="25"/>
      <c r="I24" s="20"/>
      <c r="J24" s="37">
        <f>ROUND(J23,0)</f>
        <v>134</v>
      </c>
    </row>
    <row r="25" spans="1:10">
      <c r="A25" s="38"/>
      <c r="B25" s="39"/>
      <c r="C25" s="40"/>
      <c r="D25" s="4" t="s">
        <v>39</v>
      </c>
      <c r="E25" s="41"/>
      <c r="F25" s="41"/>
      <c r="G25" s="41"/>
      <c r="H25" s="41"/>
      <c r="I25" s="41"/>
      <c r="J25" s="42"/>
    </row>
    <row r="26" spans="1:10">
      <c r="A26" s="17"/>
      <c r="B26" s="29"/>
      <c r="C26" s="30"/>
      <c r="D26" s="10" t="s">
        <v>1</v>
      </c>
      <c r="E26" s="34"/>
      <c r="F26" s="34"/>
      <c r="G26" s="34"/>
      <c r="H26" s="34"/>
      <c r="I26" s="43"/>
      <c r="J26" s="35"/>
    </row>
    <row r="27" spans="1:10" ht="76.5">
      <c r="A27" s="17"/>
      <c r="B27" s="24" t="s">
        <v>40</v>
      </c>
      <c r="C27" s="20"/>
      <c r="D27" s="44" t="s">
        <v>41</v>
      </c>
      <c r="E27" s="44"/>
      <c r="F27" s="44"/>
      <c r="G27" s="44"/>
      <c r="H27" s="44"/>
      <c r="I27" s="44"/>
      <c r="J27" s="16"/>
    </row>
    <row r="28" spans="1:10" ht="25.5">
      <c r="A28" s="17"/>
      <c r="B28" s="29"/>
      <c r="C28" s="30"/>
      <c r="D28" s="44" t="s">
        <v>42</v>
      </c>
      <c r="E28" s="44"/>
      <c r="F28" s="44"/>
      <c r="G28" s="44"/>
      <c r="H28" s="44"/>
      <c r="I28" s="44"/>
      <c r="J28" s="16"/>
    </row>
    <row r="29" spans="1:10">
      <c r="A29" s="17"/>
      <c r="B29" s="29"/>
      <c r="C29" s="30"/>
      <c r="D29" s="45" t="s">
        <v>4</v>
      </c>
      <c r="E29" s="46"/>
      <c r="F29" s="46"/>
      <c r="G29" s="46"/>
      <c r="H29" s="46"/>
      <c r="I29" s="47"/>
      <c r="J29" s="21"/>
    </row>
    <row r="30" spans="1:10">
      <c r="A30" s="17"/>
      <c r="B30" s="29"/>
      <c r="C30" s="22">
        <v>1</v>
      </c>
      <c r="D30" s="23" t="s">
        <v>9</v>
      </c>
      <c r="E30" s="43">
        <v>2</v>
      </c>
      <c r="F30" s="48" t="s">
        <v>10</v>
      </c>
      <c r="G30" s="49">
        <v>1</v>
      </c>
      <c r="H30" s="48" t="s">
        <v>10</v>
      </c>
      <c r="I30" s="20">
        <v>775</v>
      </c>
      <c r="J30" s="21">
        <f>SUM(E30*I30/G30)</f>
        <v>1550</v>
      </c>
    </row>
    <row r="31" spans="1:10" ht="25.5">
      <c r="A31" s="17"/>
      <c r="B31" s="29"/>
      <c r="C31" s="22">
        <v>2</v>
      </c>
      <c r="D31" s="27" t="s">
        <v>11</v>
      </c>
      <c r="E31" s="43">
        <v>2</v>
      </c>
      <c r="F31" s="48" t="s">
        <v>10</v>
      </c>
      <c r="G31" s="49">
        <v>1</v>
      </c>
      <c r="H31" s="48" t="s">
        <v>10</v>
      </c>
      <c r="I31" s="20">
        <v>650</v>
      </c>
      <c r="J31" s="21">
        <f>SUM(E31*I31/G31)</f>
        <v>1300</v>
      </c>
    </row>
    <row r="32" spans="1:10">
      <c r="A32" s="17"/>
      <c r="B32" s="29"/>
      <c r="C32" s="22">
        <v>3</v>
      </c>
      <c r="D32" s="27" t="s">
        <v>12</v>
      </c>
      <c r="E32" s="43">
        <v>2</v>
      </c>
      <c r="F32" s="48" t="s">
        <v>10</v>
      </c>
      <c r="G32" s="49">
        <v>1</v>
      </c>
      <c r="H32" s="48" t="s">
        <v>10</v>
      </c>
      <c r="I32" s="20">
        <v>650</v>
      </c>
      <c r="J32" s="21">
        <f>SUM(E32*I32/G32)</f>
        <v>1300</v>
      </c>
    </row>
    <row r="33" spans="1:10">
      <c r="A33" s="17"/>
      <c r="B33" s="29"/>
      <c r="C33" s="30"/>
      <c r="D33" s="44" t="s">
        <v>14</v>
      </c>
      <c r="E33" s="43"/>
      <c r="F33" s="29"/>
      <c r="G33" s="49"/>
      <c r="H33" s="29"/>
      <c r="I33" s="20"/>
      <c r="J33" s="21">
        <f>SUM(J30:J32)</f>
        <v>4150</v>
      </c>
    </row>
    <row r="34" spans="1:10">
      <c r="A34" s="17"/>
      <c r="B34" s="29"/>
      <c r="C34" s="30"/>
      <c r="D34" s="44" t="s">
        <v>15</v>
      </c>
      <c r="E34" s="50"/>
      <c r="F34" s="29"/>
      <c r="G34" s="49"/>
      <c r="H34" s="29"/>
      <c r="I34" s="47"/>
      <c r="J34" s="21">
        <f>SUM(J33/100)</f>
        <v>41.5</v>
      </c>
    </row>
    <row r="35" spans="1:10">
      <c r="A35" s="17"/>
      <c r="B35" s="29"/>
      <c r="C35" s="30"/>
      <c r="D35" s="44" t="s">
        <v>43</v>
      </c>
      <c r="E35" s="50"/>
      <c r="F35" s="29"/>
      <c r="G35" s="49"/>
      <c r="H35" s="29"/>
      <c r="I35" s="47"/>
      <c r="J35" s="21">
        <f>J34*0.4</f>
        <v>16.600000000000001</v>
      </c>
    </row>
    <row r="36" spans="1:10">
      <c r="A36" s="17"/>
      <c r="B36" s="29"/>
      <c r="C36" s="30"/>
      <c r="D36" s="44" t="s">
        <v>44</v>
      </c>
      <c r="E36" s="50"/>
      <c r="F36" s="29"/>
      <c r="G36" s="49"/>
      <c r="H36" s="29"/>
      <c r="I36" s="47"/>
      <c r="J36" s="21">
        <f>SUM(J34:J35)</f>
        <v>58.1</v>
      </c>
    </row>
    <row r="37" spans="1:10">
      <c r="A37" s="17"/>
      <c r="B37" s="29"/>
      <c r="C37" s="30"/>
      <c r="D37" s="45" t="s">
        <v>18</v>
      </c>
      <c r="E37" s="43"/>
      <c r="F37" s="29"/>
      <c r="G37" s="49"/>
      <c r="H37" s="29"/>
      <c r="I37" s="47"/>
      <c r="J37" s="21"/>
    </row>
    <row r="38" spans="1:10" ht="25.5">
      <c r="A38" s="17"/>
      <c r="B38" s="51" t="s">
        <v>45</v>
      </c>
      <c r="C38" s="30">
        <v>4</v>
      </c>
      <c r="D38" s="45" t="s">
        <v>46</v>
      </c>
      <c r="E38" s="43">
        <v>200</v>
      </c>
      <c r="F38" s="48" t="s">
        <v>24</v>
      </c>
      <c r="G38" s="49">
        <v>100</v>
      </c>
      <c r="H38" s="48" t="s">
        <v>24</v>
      </c>
      <c r="I38" s="47">
        <v>45</v>
      </c>
      <c r="J38" s="21">
        <f t="shared" ref="J38:J44" si="0">SUM(E38*I38/G38)</f>
        <v>90</v>
      </c>
    </row>
    <row r="39" spans="1:10" ht="24">
      <c r="A39" s="17"/>
      <c r="B39" s="52" t="s">
        <v>47</v>
      </c>
      <c r="C39" s="30">
        <v>5</v>
      </c>
      <c r="D39" s="53" t="s">
        <v>48</v>
      </c>
      <c r="E39" s="43">
        <v>200</v>
      </c>
      <c r="F39" s="48" t="s">
        <v>24</v>
      </c>
      <c r="G39" s="49">
        <v>100</v>
      </c>
      <c r="H39" s="48" t="s">
        <v>24</v>
      </c>
      <c r="I39" s="47">
        <v>142</v>
      </c>
      <c r="J39" s="21">
        <f t="shared" si="0"/>
        <v>284</v>
      </c>
    </row>
    <row r="40" spans="1:10" ht="25.5">
      <c r="A40" s="17"/>
      <c r="B40" s="51" t="s">
        <v>49</v>
      </c>
      <c r="C40" s="30">
        <v>6</v>
      </c>
      <c r="D40" s="54" t="s">
        <v>50</v>
      </c>
      <c r="E40" s="24">
        <v>5</v>
      </c>
      <c r="F40" s="25" t="s">
        <v>21</v>
      </c>
      <c r="G40" s="26">
        <v>1</v>
      </c>
      <c r="H40" s="25" t="s">
        <v>21</v>
      </c>
      <c r="I40" s="20">
        <v>9</v>
      </c>
      <c r="J40" s="21">
        <f t="shared" si="0"/>
        <v>45</v>
      </c>
    </row>
    <row r="41" spans="1:10" ht="25.5">
      <c r="A41" s="17"/>
      <c r="B41" s="51" t="s">
        <v>51</v>
      </c>
      <c r="C41" s="30">
        <v>7</v>
      </c>
      <c r="D41" s="45" t="s">
        <v>52</v>
      </c>
      <c r="E41" s="43">
        <v>200</v>
      </c>
      <c r="F41" s="48" t="s">
        <v>24</v>
      </c>
      <c r="G41" s="49">
        <v>100</v>
      </c>
      <c r="H41" s="48" t="s">
        <v>24</v>
      </c>
      <c r="I41" s="47">
        <v>319</v>
      </c>
      <c r="J41" s="21">
        <f t="shared" si="0"/>
        <v>638</v>
      </c>
    </row>
    <row r="42" spans="1:10" ht="22.5">
      <c r="A42" s="17"/>
      <c r="B42" s="32" t="s">
        <v>25</v>
      </c>
      <c r="C42" s="30">
        <v>8</v>
      </c>
      <c r="D42" s="18" t="s">
        <v>53</v>
      </c>
      <c r="E42" s="43">
        <v>12</v>
      </c>
      <c r="F42" s="48" t="s">
        <v>24</v>
      </c>
      <c r="G42" s="49">
        <v>1</v>
      </c>
      <c r="H42" s="48" t="s">
        <v>29</v>
      </c>
      <c r="I42" s="34">
        <v>29</v>
      </c>
      <c r="J42" s="21">
        <f t="shared" si="0"/>
        <v>348</v>
      </c>
    </row>
    <row r="43" spans="1:10" ht="22.5">
      <c r="A43" s="17"/>
      <c r="B43" s="32" t="s">
        <v>27</v>
      </c>
      <c r="C43" s="30">
        <v>9</v>
      </c>
      <c r="D43" s="18" t="s">
        <v>28</v>
      </c>
      <c r="E43" s="43">
        <v>12</v>
      </c>
      <c r="F43" s="48" t="s">
        <v>24</v>
      </c>
      <c r="G43" s="49">
        <v>1</v>
      </c>
      <c r="H43" s="48" t="s">
        <v>29</v>
      </c>
      <c r="I43" s="20">
        <v>13</v>
      </c>
      <c r="J43" s="21">
        <f t="shared" si="0"/>
        <v>156</v>
      </c>
    </row>
    <row r="44" spans="1:10" ht="25.5">
      <c r="A44" s="17"/>
      <c r="B44" s="51" t="s">
        <v>54</v>
      </c>
      <c r="C44" s="30">
        <v>10</v>
      </c>
      <c r="D44" s="45" t="s">
        <v>55</v>
      </c>
      <c r="E44" s="43">
        <v>100</v>
      </c>
      <c r="F44" s="48" t="s">
        <v>32</v>
      </c>
      <c r="G44" s="49">
        <v>1</v>
      </c>
      <c r="H44" s="48" t="s">
        <v>32</v>
      </c>
      <c r="I44" s="47">
        <v>34</v>
      </c>
      <c r="J44" s="21">
        <f t="shared" si="0"/>
        <v>3400</v>
      </c>
    </row>
    <row r="45" spans="1:10">
      <c r="A45" s="17"/>
      <c r="B45" s="17"/>
      <c r="C45" s="31"/>
      <c r="D45" s="13" t="s">
        <v>33</v>
      </c>
      <c r="E45" s="24"/>
      <c r="F45" s="25"/>
      <c r="G45" s="26"/>
      <c r="H45" s="25"/>
      <c r="I45" s="20"/>
      <c r="J45" s="21">
        <f>SUM(J38:J44)</f>
        <v>4961</v>
      </c>
    </row>
    <row r="46" spans="1:10">
      <c r="A46" s="17"/>
      <c r="B46" s="17"/>
      <c r="C46" s="31"/>
      <c r="D46" s="13" t="s">
        <v>34</v>
      </c>
      <c r="E46" s="24"/>
      <c r="F46" s="25"/>
      <c r="G46" s="26"/>
      <c r="H46" s="25"/>
      <c r="I46" s="20"/>
      <c r="J46" s="21">
        <f>SUM(J45/100)</f>
        <v>49.61</v>
      </c>
    </row>
    <row r="47" spans="1:10">
      <c r="A47" s="17"/>
      <c r="B47" s="17"/>
      <c r="C47" s="31"/>
      <c r="D47" s="18" t="s">
        <v>35</v>
      </c>
      <c r="E47" s="24"/>
      <c r="F47" s="25"/>
      <c r="G47" s="26"/>
      <c r="H47" s="25"/>
      <c r="I47" s="20"/>
      <c r="J47" s="21">
        <f>J46+J36</f>
        <v>107.71000000000001</v>
      </c>
    </row>
    <row r="48" spans="1:10">
      <c r="A48" s="17"/>
      <c r="B48" s="29"/>
      <c r="C48" s="30"/>
      <c r="D48" s="18" t="s">
        <v>36</v>
      </c>
      <c r="E48" s="24"/>
      <c r="F48" s="25"/>
      <c r="G48" s="26"/>
      <c r="H48" s="25"/>
      <c r="I48" s="20"/>
      <c r="J48" s="36">
        <f>(J47)*0.10615</f>
        <v>11.4334165</v>
      </c>
    </row>
    <row r="49" spans="1:10">
      <c r="A49" s="17"/>
      <c r="B49" s="29"/>
      <c r="C49" s="30"/>
      <c r="D49" s="18" t="s">
        <v>37</v>
      </c>
      <c r="E49" s="24"/>
      <c r="F49" s="25"/>
      <c r="G49" s="26"/>
      <c r="H49" s="25"/>
      <c r="I49" s="20"/>
      <c r="J49" s="36">
        <f>SUM(J47:J48)</f>
        <v>119.1434165</v>
      </c>
    </row>
    <row r="50" spans="1:10">
      <c r="A50" s="17"/>
      <c r="B50" s="29"/>
      <c r="C50" s="30"/>
      <c r="D50" s="18" t="s">
        <v>38</v>
      </c>
      <c r="E50" s="24"/>
      <c r="F50" s="25"/>
      <c r="G50" s="26"/>
      <c r="H50" s="25"/>
      <c r="I50" s="20"/>
      <c r="J50" s="37">
        <f>ROUND(J49,0)</f>
        <v>119</v>
      </c>
    </row>
    <row r="51" spans="1:10">
      <c r="A51" s="38"/>
      <c r="B51" s="39"/>
      <c r="C51" s="40"/>
      <c r="D51" s="4" t="s">
        <v>643</v>
      </c>
      <c r="E51" s="41"/>
      <c r="F51" s="41"/>
      <c r="G51" s="41"/>
      <c r="H51" s="41"/>
      <c r="I51" s="41"/>
      <c r="J51" s="42"/>
    </row>
    <row r="52" spans="1:10">
      <c r="A52" s="17"/>
      <c r="B52" s="17"/>
      <c r="C52" s="31"/>
      <c r="D52" s="10" t="s">
        <v>1</v>
      </c>
      <c r="E52" s="29"/>
      <c r="F52" s="29"/>
      <c r="G52" s="29"/>
      <c r="H52" s="29"/>
      <c r="I52" s="30"/>
      <c r="J52" s="21"/>
    </row>
    <row r="53" spans="1:10" ht="140.25">
      <c r="A53" s="17"/>
      <c r="B53" s="26" t="s">
        <v>56</v>
      </c>
      <c r="C53" s="22" t="s">
        <v>57</v>
      </c>
      <c r="D53" s="44" t="s">
        <v>58</v>
      </c>
      <c r="E53" s="44"/>
      <c r="F53" s="44"/>
      <c r="G53" s="44"/>
      <c r="H53" s="44"/>
      <c r="I53" s="44"/>
      <c r="J53" s="16"/>
    </row>
    <row r="54" spans="1:10">
      <c r="A54" s="17"/>
      <c r="B54" s="17"/>
      <c r="C54" s="31"/>
      <c r="D54" s="45" t="s">
        <v>4</v>
      </c>
      <c r="E54" s="30"/>
      <c r="F54" s="30"/>
      <c r="G54" s="30"/>
      <c r="H54" s="30"/>
      <c r="I54" s="30"/>
      <c r="J54" s="34"/>
    </row>
    <row r="55" spans="1:10">
      <c r="A55" s="17"/>
      <c r="B55" s="17"/>
      <c r="C55" s="31">
        <v>1</v>
      </c>
      <c r="D55" s="23" t="s">
        <v>9</v>
      </c>
      <c r="E55" s="43">
        <v>0.7</v>
      </c>
      <c r="F55" s="48" t="s">
        <v>10</v>
      </c>
      <c r="G55" s="49">
        <v>1</v>
      </c>
      <c r="H55" s="48" t="s">
        <v>10</v>
      </c>
      <c r="I55" s="20">
        <v>775</v>
      </c>
      <c r="J55" s="21">
        <f>SUM(E55*I55/G55)</f>
        <v>542.5</v>
      </c>
    </row>
    <row r="56" spans="1:10" ht="25.5">
      <c r="A56" s="17"/>
      <c r="B56" s="17"/>
      <c r="C56" s="31">
        <v>2</v>
      </c>
      <c r="D56" s="27" t="s">
        <v>11</v>
      </c>
      <c r="E56" s="43">
        <v>1.4</v>
      </c>
      <c r="F56" s="48" t="s">
        <v>10</v>
      </c>
      <c r="G56" s="49">
        <v>1</v>
      </c>
      <c r="H56" s="48" t="s">
        <v>10</v>
      </c>
      <c r="I56" s="20">
        <v>650</v>
      </c>
      <c r="J56" s="21">
        <f>SUM(E56*I56/G56)</f>
        <v>909.99999999999989</v>
      </c>
    </row>
    <row r="57" spans="1:10">
      <c r="A57" s="17"/>
      <c r="B57" s="17"/>
      <c r="C57" s="31">
        <v>3</v>
      </c>
      <c r="D57" s="27" t="s">
        <v>12</v>
      </c>
      <c r="E57" s="43">
        <v>0.7</v>
      </c>
      <c r="F57" s="48" t="s">
        <v>10</v>
      </c>
      <c r="G57" s="49">
        <v>1</v>
      </c>
      <c r="H57" s="48" t="s">
        <v>10</v>
      </c>
      <c r="I57" s="20">
        <v>650</v>
      </c>
      <c r="J57" s="21">
        <f>SUM(E57*I57/G57)</f>
        <v>454.99999999999994</v>
      </c>
    </row>
    <row r="58" spans="1:10">
      <c r="A58" s="17"/>
      <c r="B58" s="17"/>
      <c r="C58" s="31"/>
      <c r="D58" s="44" t="s">
        <v>59</v>
      </c>
      <c r="E58" s="43"/>
      <c r="F58" s="30"/>
      <c r="G58" s="30"/>
      <c r="H58" s="30"/>
      <c r="I58" s="55"/>
      <c r="J58" s="21">
        <f>SUM(J55:J57)</f>
        <v>1907.5</v>
      </c>
    </row>
    <row r="59" spans="1:10">
      <c r="A59" s="17"/>
      <c r="B59" s="17"/>
      <c r="C59" s="31"/>
      <c r="D59" s="44" t="s">
        <v>60</v>
      </c>
      <c r="E59" s="43"/>
      <c r="F59" s="30"/>
      <c r="G59" s="30"/>
      <c r="H59" s="30"/>
      <c r="I59" s="55"/>
      <c r="J59" s="21">
        <f>SUM(J58/7)</f>
        <v>272.5</v>
      </c>
    </row>
    <row r="60" spans="1:10">
      <c r="A60" s="17"/>
      <c r="B60" s="17"/>
      <c r="C60" s="31"/>
      <c r="D60" s="13" t="s">
        <v>61</v>
      </c>
      <c r="E60" s="31"/>
      <c r="F60" s="17"/>
      <c r="G60" s="26"/>
      <c r="H60" s="17"/>
      <c r="I60" s="20"/>
      <c r="J60" s="21">
        <f>J59*0.4</f>
        <v>109</v>
      </c>
    </row>
    <row r="61" spans="1:10">
      <c r="A61" s="17"/>
      <c r="B61" s="17"/>
      <c r="C61" s="31"/>
      <c r="D61" s="13" t="s">
        <v>17</v>
      </c>
      <c r="E61" s="31"/>
      <c r="F61" s="17"/>
      <c r="G61" s="26"/>
      <c r="H61" s="17"/>
      <c r="I61" s="20"/>
      <c r="J61" s="21">
        <f>SUM(J59:J60)</f>
        <v>381.5</v>
      </c>
    </row>
    <row r="62" spans="1:10">
      <c r="A62" s="17"/>
      <c r="B62" s="17"/>
      <c r="C62" s="31"/>
      <c r="D62" s="27" t="s">
        <v>18</v>
      </c>
      <c r="E62" s="29"/>
      <c r="F62" s="24"/>
      <c r="G62" s="25"/>
      <c r="H62" s="26"/>
      <c r="I62" s="25"/>
      <c r="J62" s="21"/>
    </row>
    <row r="63" spans="1:10" ht="38.25">
      <c r="A63" s="17"/>
      <c r="B63" s="56" t="s">
        <v>62</v>
      </c>
      <c r="C63" s="31">
        <v>4</v>
      </c>
      <c r="D63" s="57" t="s">
        <v>63</v>
      </c>
      <c r="E63" s="43">
        <v>100</v>
      </c>
      <c r="F63" s="48" t="s">
        <v>64</v>
      </c>
      <c r="G63" s="49">
        <v>100</v>
      </c>
      <c r="H63" s="48" t="s">
        <v>32</v>
      </c>
      <c r="I63" s="34">
        <v>2530</v>
      </c>
      <c r="J63" s="21">
        <f>I63*E63/G63</f>
        <v>2530</v>
      </c>
    </row>
    <row r="64" spans="1:10" ht="25.5">
      <c r="A64" s="17"/>
      <c r="B64" s="17" t="s">
        <v>65</v>
      </c>
      <c r="C64" s="31">
        <v>5</v>
      </c>
      <c r="D64" s="16" t="s">
        <v>66</v>
      </c>
      <c r="E64" s="43">
        <v>7</v>
      </c>
      <c r="F64" s="48" t="s">
        <v>24</v>
      </c>
      <c r="G64" s="49">
        <v>1</v>
      </c>
      <c r="H64" s="48" t="s">
        <v>29</v>
      </c>
      <c r="I64" s="47">
        <v>25</v>
      </c>
      <c r="J64" s="21">
        <f t="shared" ref="J64:J69" si="1">SUM(E64*I64/G64)</f>
        <v>175</v>
      </c>
    </row>
    <row r="65" spans="1:10" ht="25.5">
      <c r="A65" s="17"/>
      <c r="B65" s="17" t="s">
        <v>67</v>
      </c>
      <c r="C65" s="31">
        <v>6</v>
      </c>
      <c r="D65" s="57" t="s">
        <v>68</v>
      </c>
      <c r="E65" s="43">
        <v>1</v>
      </c>
      <c r="F65" s="48" t="s">
        <v>24</v>
      </c>
      <c r="G65" s="49">
        <v>1</v>
      </c>
      <c r="H65" s="48" t="s">
        <v>29</v>
      </c>
      <c r="I65" s="47">
        <v>116</v>
      </c>
      <c r="J65" s="21">
        <f t="shared" si="1"/>
        <v>116</v>
      </c>
    </row>
    <row r="66" spans="1:10" ht="25.5">
      <c r="A66" s="17"/>
      <c r="B66" s="17" t="s">
        <v>69</v>
      </c>
      <c r="C66" s="31">
        <v>7</v>
      </c>
      <c r="D66" s="57" t="s">
        <v>70</v>
      </c>
      <c r="E66" s="43">
        <v>1</v>
      </c>
      <c r="F66" s="48" t="s">
        <v>24</v>
      </c>
      <c r="G66" s="49">
        <v>1</v>
      </c>
      <c r="H66" s="48" t="s">
        <v>29</v>
      </c>
      <c r="I66" s="47">
        <v>137</v>
      </c>
      <c r="J66" s="21">
        <f t="shared" si="1"/>
        <v>137</v>
      </c>
    </row>
    <row r="67" spans="1:10" ht="25.5">
      <c r="A67" s="17"/>
      <c r="B67" s="17" t="s">
        <v>71</v>
      </c>
      <c r="C67" s="31">
        <v>8</v>
      </c>
      <c r="D67" s="57" t="s">
        <v>72</v>
      </c>
      <c r="E67" s="43">
        <v>1</v>
      </c>
      <c r="F67" s="48" t="s">
        <v>24</v>
      </c>
      <c r="G67" s="49">
        <v>1</v>
      </c>
      <c r="H67" s="48" t="s">
        <v>29</v>
      </c>
      <c r="I67" s="47">
        <v>95</v>
      </c>
      <c r="J67" s="21">
        <f t="shared" si="1"/>
        <v>95</v>
      </c>
    </row>
    <row r="68" spans="1:10" ht="25.5">
      <c r="A68" s="17"/>
      <c r="B68" s="17" t="s">
        <v>73</v>
      </c>
      <c r="C68" s="31">
        <v>9</v>
      </c>
      <c r="D68" s="57" t="s">
        <v>74</v>
      </c>
      <c r="E68" s="43">
        <v>1</v>
      </c>
      <c r="F68" s="48" t="s">
        <v>24</v>
      </c>
      <c r="G68" s="49">
        <v>1</v>
      </c>
      <c r="H68" s="48" t="s">
        <v>29</v>
      </c>
      <c r="I68" s="47">
        <v>110</v>
      </c>
      <c r="J68" s="21">
        <f t="shared" si="1"/>
        <v>110</v>
      </c>
    </row>
    <row r="69" spans="1:10" ht="38.25">
      <c r="A69" s="17"/>
      <c r="B69" s="17" t="s">
        <v>75</v>
      </c>
      <c r="C69" s="31">
        <v>10</v>
      </c>
      <c r="D69" s="57" t="s">
        <v>76</v>
      </c>
      <c r="E69" s="43">
        <v>7</v>
      </c>
      <c r="F69" s="48" t="s">
        <v>24</v>
      </c>
      <c r="G69" s="49">
        <v>1</v>
      </c>
      <c r="H69" s="48" t="s">
        <v>29</v>
      </c>
      <c r="I69" s="47">
        <v>89</v>
      </c>
      <c r="J69" s="21">
        <f t="shared" si="1"/>
        <v>623</v>
      </c>
    </row>
    <row r="70" spans="1:10">
      <c r="A70" s="17"/>
      <c r="B70" s="17"/>
      <c r="C70" s="31"/>
      <c r="D70" s="57" t="s">
        <v>77</v>
      </c>
      <c r="E70" s="34"/>
      <c r="F70" s="34"/>
      <c r="G70" s="34"/>
      <c r="H70" s="34"/>
      <c r="I70" s="34"/>
      <c r="J70" s="21">
        <f>SUM(J63:J69)</f>
        <v>3786</v>
      </c>
    </row>
    <row r="71" spans="1:10">
      <c r="A71" s="17"/>
      <c r="B71" s="17"/>
      <c r="C71" s="31"/>
      <c r="D71" s="57" t="s">
        <v>78</v>
      </c>
      <c r="E71" s="34"/>
      <c r="F71" s="34"/>
      <c r="G71" s="34"/>
      <c r="H71" s="34"/>
      <c r="I71" s="34"/>
      <c r="J71" s="21">
        <f>J70/7</f>
        <v>540.85714285714289</v>
      </c>
    </row>
    <row r="72" spans="1:10">
      <c r="A72" s="17"/>
      <c r="B72" s="17"/>
      <c r="C72" s="31"/>
      <c r="D72" s="57" t="s">
        <v>79</v>
      </c>
      <c r="E72" s="34"/>
      <c r="F72" s="34"/>
      <c r="G72" s="34"/>
      <c r="H72" s="34"/>
      <c r="I72" s="34"/>
      <c r="J72" s="21">
        <f>J71+J61</f>
        <v>922.35714285714289</v>
      </c>
    </row>
    <row r="73" spans="1:10">
      <c r="A73" s="17"/>
      <c r="B73" s="29"/>
      <c r="C73" s="30"/>
      <c r="D73" s="18" t="s">
        <v>36</v>
      </c>
      <c r="E73" s="24"/>
      <c r="F73" s="25"/>
      <c r="G73" s="26"/>
      <c r="H73" s="25"/>
      <c r="I73" s="20"/>
      <c r="J73" s="36">
        <f>(J72)*0.10615</f>
        <v>97.908210714285715</v>
      </c>
    </row>
    <row r="74" spans="1:10">
      <c r="A74" s="17"/>
      <c r="B74" s="29"/>
      <c r="C74" s="30"/>
      <c r="D74" s="18" t="s">
        <v>80</v>
      </c>
      <c r="E74" s="24"/>
      <c r="F74" s="25"/>
      <c r="G74" s="26"/>
      <c r="H74" s="25"/>
      <c r="I74" s="20"/>
      <c r="J74" s="36">
        <f>SUM(J72:J73)</f>
        <v>1020.2653535714286</v>
      </c>
    </row>
    <row r="75" spans="1:10" ht="89.25">
      <c r="A75" s="17"/>
      <c r="B75" s="29" t="s">
        <v>81</v>
      </c>
      <c r="C75" s="30"/>
      <c r="D75" s="18" t="s">
        <v>82</v>
      </c>
      <c r="E75" s="24"/>
      <c r="F75" s="25"/>
      <c r="G75" s="26"/>
      <c r="H75" s="25"/>
      <c r="I75" s="20"/>
      <c r="J75" s="36">
        <f>J74*80%</f>
        <v>816.2122828571429</v>
      </c>
    </row>
    <row r="76" spans="1:10">
      <c r="A76" s="17"/>
      <c r="B76" s="29"/>
      <c r="C76" s="30"/>
      <c r="D76" s="18" t="s">
        <v>38</v>
      </c>
      <c r="E76" s="24"/>
      <c r="F76" s="25"/>
      <c r="G76" s="26"/>
      <c r="H76" s="25"/>
      <c r="I76" s="20"/>
      <c r="J76" s="37">
        <f>ROUND(J75,0)</f>
        <v>816</v>
      </c>
    </row>
    <row r="77" spans="1:10">
      <c r="A77" s="38"/>
      <c r="B77" s="39"/>
      <c r="C77" s="40"/>
      <c r="D77" s="4" t="s">
        <v>644</v>
      </c>
      <c r="E77" s="41"/>
      <c r="F77" s="41"/>
      <c r="G77" s="41"/>
      <c r="H77" s="41"/>
      <c r="I77" s="41"/>
      <c r="J77" s="42"/>
    </row>
    <row r="78" spans="1:10">
      <c r="A78" s="17"/>
      <c r="B78" s="17"/>
      <c r="C78" s="31"/>
      <c r="D78" s="10" t="s">
        <v>1</v>
      </c>
      <c r="E78" s="29"/>
      <c r="F78" s="29"/>
      <c r="G78" s="29"/>
      <c r="H78" s="29"/>
      <c r="I78" s="30"/>
      <c r="J78" s="21"/>
    </row>
    <row r="79" spans="1:10" ht="140.25">
      <c r="A79" s="17"/>
      <c r="B79" s="26" t="s">
        <v>56</v>
      </c>
      <c r="C79" s="22" t="s">
        <v>57</v>
      </c>
      <c r="D79" s="44" t="s">
        <v>58</v>
      </c>
      <c r="E79" s="44"/>
      <c r="F79" s="44"/>
      <c r="G79" s="44"/>
      <c r="H79" s="44"/>
      <c r="I79" s="44"/>
      <c r="J79" s="16"/>
    </row>
    <row r="80" spans="1:10">
      <c r="A80" s="17"/>
      <c r="B80" s="17"/>
      <c r="C80" s="31"/>
      <c r="D80" s="45" t="s">
        <v>4</v>
      </c>
      <c r="E80" s="30"/>
      <c r="F80" s="30"/>
      <c r="G80" s="30"/>
      <c r="H80" s="30"/>
      <c r="I80" s="30"/>
      <c r="J80" s="34"/>
    </row>
    <row r="81" spans="1:10">
      <c r="A81" s="17"/>
      <c r="B81" s="17"/>
      <c r="C81" s="31">
        <v>1</v>
      </c>
      <c r="D81" s="23" t="s">
        <v>9</v>
      </c>
      <c r="E81" s="43">
        <v>0.7</v>
      </c>
      <c r="F81" s="48" t="s">
        <v>10</v>
      </c>
      <c r="G81" s="49">
        <v>1</v>
      </c>
      <c r="H81" s="48" t="s">
        <v>10</v>
      </c>
      <c r="I81" s="20">
        <v>775</v>
      </c>
      <c r="J81" s="21">
        <f>SUM(E81*I81/G81)</f>
        <v>542.5</v>
      </c>
    </row>
    <row r="82" spans="1:10" ht="25.5">
      <c r="A82" s="17"/>
      <c r="B82" s="17"/>
      <c r="C82" s="31">
        <v>2</v>
      </c>
      <c r="D82" s="27" t="s">
        <v>11</v>
      </c>
      <c r="E82" s="43">
        <v>1.4</v>
      </c>
      <c r="F82" s="48" t="s">
        <v>10</v>
      </c>
      <c r="G82" s="49">
        <v>1</v>
      </c>
      <c r="H82" s="48" t="s">
        <v>10</v>
      </c>
      <c r="I82" s="20">
        <v>650</v>
      </c>
      <c r="J82" s="21">
        <f>SUM(E82*I82/G82)</f>
        <v>909.99999999999989</v>
      </c>
    </row>
    <row r="83" spans="1:10">
      <c r="A83" s="17"/>
      <c r="B83" s="17"/>
      <c r="C83" s="31">
        <v>3</v>
      </c>
      <c r="D83" s="27" t="s">
        <v>12</v>
      </c>
      <c r="E83" s="43">
        <v>0.7</v>
      </c>
      <c r="F83" s="48" t="s">
        <v>10</v>
      </c>
      <c r="G83" s="49">
        <v>1</v>
      </c>
      <c r="H83" s="48" t="s">
        <v>10</v>
      </c>
      <c r="I83" s="20">
        <v>650</v>
      </c>
      <c r="J83" s="21">
        <f>SUM(E83*I83/G83)</f>
        <v>454.99999999999994</v>
      </c>
    </row>
    <row r="84" spans="1:10">
      <c r="A84" s="17"/>
      <c r="B84" s="17"/>
      <c r="C84" s="31"/>
      <c r="D84" s="44" t="s">
        <v>645</v>
      </c>
      <c r="E84" s="43"/>
      <c r="F84" s="30"/>
      <c r="G84" s="30"/>
      <c r="H84" s="30"/>
      <c r="I84" s="55"/>
      <c r="J84" s="21">
        <f>SUM(J81:J83)</f>
        <v>1907.5</v>
      </c>
    </row>
    <row r="85" spans="1:10">
      <c r="A85" s="17"/>
      <c r="B85" s="17"/>
      <c r="C85" s="31"/>
      <c r="D85" s="44" t="s">
        <v>60</v>
      </c>
      <c r="E85" s="43"/>
      <c r="F85" s="30"/>
      <c r="G85" s="30"/>
      <c r="H85" s="30"/>
      <c r="I85" s="55"/>
      <c r="J85" s="21">
        <f>SUM(J84/7)</f>
        <v>272.5</v>
      </c>
    </row>
    <row r="86" spans="1:10">
      <c r="A86" s="17"/>
      <c r="B86" s="17"/>
      <c r="C86" s="31"/>
      <c r="D86" s="13" t="s">
        <v>61</v>
      </c>
      <c r="E86" s="31"/>
      <c r="F86" s="17"/>
      <c r="G86" s="26"/>
      <c r="H86" s="17"/>
      <c r="I86" s="20"/>
      <c r="J86" s="21">
        <f>J85*0.4</f>
        <v>109</v>
      </c>
    </row>
    <row r="87" spans="1:10">
      <c r="A87" s="17"/>
      <c r="B87" s="17"/>
      <c r="C87" s="31"/>
      <c r="D87" s="13" t="s">
        <v>17</v>
      </c>
      <c r="E87" s="31"/>
      <c r="F87" s="17"/>
      <c r="G87" s="26"/>
      <c r="H87" s="17"/>
      <c r="I87" s="20"/>
      <c r="J87" s="21">
        <f>SUM(J85:J86)</f>
        <v>381.5</v>
      </c>
    </row>
    <row r="88" spans="1:10">
      <c r="A88" s="17"/>
      <c r="B88" s="17"/>
      <c r="C88" s="31"/>
      <c r="D88" s="27" t="s">
        <v>18</v>
      </c>
      <c r="E88" s="29"/>
      <c r="F88" s="24"/>
      <c r="G88" s="25"/>
      <c r="H88" s="26"/>
      <c r="I88" s="25"/>
      <c r="J88" s="21"/>
    </row>
    <row r="89" spans="1:10" ht="38.25">
      <c r="A89" s="17"/>
      <c r="B89" s="56" t="s">
        <v>62</v>
      </c>
      <c r="C89" s="31">
        <v>4</v>
      </c>
      <c r="D89" s="57" t="s">
        <v>63</v>
      </c>
      <c r="E89" s="43">
        <v>100</v>
      </c>
      <c r="F89" s="48" t="s">
        <v>64</v>
      </c>
      <c r="G89" s="49">
        <v>100</v>
      </c>
      <c r="H89" s="48" t="s">
        <v>32</v>
      </c>
      <c r="I89" s="34">
        <v>2530</v>
      </c>
      <c r="J89" s="21">
        <f>I89*E89/G89</f>
        <v>2530</v>
      </c>
    </row>
    <row r="90" spans="1:10" ht="25.5">
      <c r="A90" s="17"/>
      <c r="B90" s="17" t="s">
        <v>65</v>
      </c>
      <c r="C90" s="31">
        <v>5</v>
      </c>
      <c r="D90" s="16" t="s">
        <v>66</v>
      </c>
      <c r="E90" s="43">
        <v>6</v>
      </c>
      <c r="F90" s="48" t="s">
        <v>24</v>
      </c>
      <c r="G90" s="49">
        <v>1</v>
      </c>
      <c r="H90" s="48" t="s">
        <v>29</v>
      </c>
      <c r="I90" s="47">
        <v>25</v>
      </c>
      <c r="J90" s="21">
        <f t="shared" ref="J90:J95" si="2">SUM(E90*I90/G90)</f>
        <v>150</v>
      </c>
    </row>
    <row r="91" spans="1:10" ht="25.5">
      <c r="A91" s="17"/>
      <c r="B91" s="17" t="s">
        <v>67</v>
      </c>
      <c r="C91" s="31">
        <v>6</v>
      </c>
      <c r="D91" s="57" t="s">
        <v>68</v>
      </c>
      <c r="E91" s="43">
        <v>1</v>
      </c>
      <c r="F91" s="48" t="s">
        <v>24</v>
      </c>
      <c r="G91" s="49">
        <v>1</v>
      </c>
      <c r="H91" s="48" t="s">
        <v>29</v>
      </c>
      <c r="I91" s="47">
        <v>116</v>
      </c>
      <c r="J91" s="21">
        <f t="shared" si="2"/>
        <v>116</v>
      </c>
    </row>
    <row r="92" spans="1:10" ht="25.5">
      <c r="A92" s="17"/>
      <c r="B92" s="17" t="s">
        <v>69</v>
      </c>
      <c r="C92" s="31">
        <v>7</v>
      </c>
      <c r="D92" s="57" t="s">
        <v>70</v>
      </c>
      <c r="E92" s="43">
        <v>1</v>
      </c>
      <c r="F92" s="48" t="s">
        <v>24</v>
      </c>
      <c r="G92" s="49">
        <v>1</v>
      </c>
      <c r="H92" s="48" t="s">
        <v>29</v>
      </c>
      <c r="I92" s="47">
        <v>137</v>
      </c>
      <c r="J92" s="21">
        <f t="shared" si="2"/>
        <v>137</v>
      </c>
    </row>
    <row r="93" spans="1:10" ht="25.5">
      <c r="A93" s="17"/>
      <c r="B93" s="17" t="s">
        <v>71</v>
      </c>
      <c r="C93" s="31">
        <v>8</v>
      </c>
      <c r="D93" s="57" t="s">
        <v>72</v>
      </c>
      <c r="E93" s="43">
        <v>1</v>
      </c>
      <c r="F93" s="48" t="s">
        <v>24</v>
      </c>
      <c r="G93" s="49">
        <v>1</v>
      </c>
      <c r="H93" s="48" t="s">
        <v>29</v>
      </c>
      <c r="I93" s="47">
        <v>95</v>
      </c>
      <c r="J93" s="21">
        <f t="shared" si="2"/>
        <v>95</v>
      </c>
    </row>
    <row r="94" spans="1:10" ht="25.5">
      <c r="A94" s="17"/>
      <c r="B94" s="17" t="s">
        <v>73</v>
      </c>
      <c r="C94" s="31">
        <v>9</v>
      </c>
      <c r="D94" s="57" t="s">
        <v>74</v>
      </c>
      <c r="E94" s="43">
        <v>1</v>
      </c>
      <c r="F94" s="48" t="s">
        <v>24</v>
      </c>
      <c r="G94" s="49">
        <v>1</v>
      </c>
      <c r="H94" s="48" t="s">
        <v>29</v>
      </c>
      <c r="I94" s="47">
        <v>110</v>
      </c>
      <c r="J94" s="21">
        <f t="shared" si="2"/>
        <v>110</v>
      </c>
    </row>
    <row r="95" spans="1:10" ht="38.25">
      <c r="A95" s="17"/>
      <c r="B95" s="17" t="s">
        <v>75</v>
      </c>
      <c r="C95" s="31">
        <v>10</v>
      </c>
      <c r="D95" s="57" t="s">
        <v>76</v>
      </c>
      <c r="E95" s="43">
        <v>6</v>
      </c>
      <c r="F95" s="48" t="s">
        <v>24</v>
      </c>
      <c r="G95" s="49">
        <v>1</v>
      </c>
      <c r="H95" s="48" t="s">
        <v>29</v>
      </c>
      <c r="I95" s="47">
        <v>89</v>
      </c>
      <c r="J95" s="21">
        <f t="shared" si="2"/>
        <v>534</v>
      </c>
    </row>
    <row r="96" spans="1:10">
      <c r="A96" s="17"/>
      <c r="B96" s="17"/>
      <c r="C96" s="31"/>
      <c r="D96" s="57" t="s">
        <v>646</v>
      </c>
      <c r="E96" s="34"/>
      <c r="F96" s="34"/>
      <c r="G96" s="34"/>
      <c r="H96" s="34"/>
      <c r="I96" s="34"/>
      <c r="J96" s="21">
        <f>SUM(J89:J95)</f>
        <v>3672</v>
      </c>
    </row>
    <row r="97" spans="1:10">
      <c r="A97" s="17"/>
      <c r="B97" s="17"/>
      <c r="C97" s="31"/>
      <c r="D97" s="57" t="s">
        <v>78</v>
      </c>
      <c r="E97" s="34"/>
      <c r="F97" s="34"/>
      <c r="G97" s="34"/>
      <c r="H97" s="34"/>
      <c r="I97" s="34"/>
      <c r="J97" s="21">
        <f>J96/6</f>
        <v>612</v>
      </c>
    </row>
    <row r="98" spans="1:10">
      <c r="A98" s="17"/>
      <c r="B98" s="17"/>
      <c r="C98" s="31"/>
      <c r="D98" s="57" t="s">
        <v>79</v>
      </c>
      <c r="E98" s="34"/>
      <c r="F98" s="34"/>
      <c r="G98" s="34"/>
      <c r="H98" s="34"/>
      <c r="I98" s="34"/>
      <c r="J98" s="21">
        <f>J97+J87</f>
        <v>993.5</v>
      </c>
    </row>
    <row r="99" spans="1:10">
      <c r="A99" s="17"/>
      <c r="B99" s="29"/>
      <c r="C99" s="30"/>
      <c r="D99" s="18" t="s">
        <v>36</v>
      </c>
      <c r="E99" s="24"/>
      <c r="F99" s="25"/>
      <c r="G99" s="26"/>
      <c r="H99" s="25"/>
      <c r="I99" s="20"/>
      <c r="J99" s="36">
        <f>(J98)*0.10615</f>
        <v>105.46002499999999</v>
      </c>
    </row>
    <row r="100" spans="1:10">
      <c r="A100" s="17"/>
      <c r="B100" s="29"/>
      <c r="C100" s="30"/>
      <c r="D100" s="18" t="s">
        <v>80</v>
      </c>
      <c r="E100" s="24"/>
      <c r="F100" s="25"/>
      <c r="G100" s="26"/>
      <c r="H100" s="25"/>
      <c r="I100" s="20"/>
      <c r="J100" s="36">
        <f>SUM(J98:J99)</f>
        <v>1098.9600250000001</v>
      </c>
    </row>
    <row r="101" spans="1:10" ht="89.25">
      <c r="A101" s="17"/>
      <c r="B101" s="29" t="s">
        <v>81</v>
      </c>
      <c r="C101" s="30"/>
      <c r="D101" s="18" t="s">
        <v>82</v>
      </c>
      <c r="E101" s="24"/>
      <c r="F101" s="25"/>
      <c r="G101" s="26"/>
      <c r="H101" s="25"/>
      <c r="I101" s="20"/>
      <c r="J101" s="36">
        <f>J100*80%</f>
        <v>879.16802000000007</v>
      </c>
    </row>
    <row r="102" spans="1:10">
      <c r="A102" s="17"/>
      <c r="B102" s="29"/>
      <c r="C102" s="30"/>
      <c r="D102" s="18" t="s">
        <v>38</v>
      </c>
      <c r="E102" s="24"/>
      <c r="F102" s="25"/>
      <c r="G102" s="26"/>
      <c r="H102" s="25"/>
      <c r="I102" s="20"/>
      <c r="J102" s="37">
        <f>ROUND(J101,0)</f>
        <v>879</v>
      </c>
    </row>
    <row r="103" spans="1:10">
      <c r="A103" s="38"/>
      <c r="B103" s="39"/>
      <c r="C103" s="40"/>
      <c r="D103" s="4" t="s">
        <v>647</v>
      </c>
      <c r="E103" s="41"/>
      <c r="F103" s="41"/>
      <c r="G103" s="41"/>
      <c r="H103" s="41"/>
      <c r="I103" s="41"/>
      <c r="J103" s="42"/>
    </row>
    <row r="104" spans="1:10">
      <c r="A104" s="17"/>
      <c r="B104" s="17"/>
      <c r="C104" s="31"/>
      <c r="D104" s="10" t="s">
        <v>1</v>
      </c>
      <c r="E104" s="29"/>
      <c r="F104" s="29"/>
      <c r="G104" s="29"/>
      <c r="H104" s="29"/>
      <c r="I104" s="30"/>
      <c r="J104" s="21"/>
    </row>
    <row r="105" spans="1:10" ht="140.25">
      <c r="A105" s="17"/>
      <c r="B105" s="26" t="s">
        <v>56</v>
      </c>
      <c r="C105" s="22"/>
      <c r="D105" s="44" t="s">
        <v>83</v>
      </c>
      <c r="E105" s="44"/>
      <c r="F105" s="44"/>
      <c r="G105" s="44"/>
      <c r="H105" s="44"/>
      <c r="I105" s="44"/>
      <c r="J105" s="16"/>
    </row>
    <row r="106" spans="1:10">
      <c r="A106" s="17"/>
      <c r="B106" s="17"/>
      <c r="C106" s="31"/>
      <c r="D106" s="45" t="s">
        <v>4</v>
      </c>
      <c r="E106" s="30"/>
      <c r="F106" s="30"/>
      <c r="G106" s="30"/>
      <c r="H106" s="30"/>
      <c r="I106" s="30"/>
      <c r="J106" s="34"/>
    </row>
    <row r="107" spans="1:10">
      <c r="A107" s="17"/>
      <c r="B107" s="17"/>
      <c r="C107" s="31">
        <v>1</v>
      </c>
      <c r="D107" s="23" t="s">
        <v>9</v>
      </c>
      <c r="E107" s="43">
        <v>0.7</v>
      </c>
      <c r="F107" s="48" t="s">
        <v>10</v>
      </c>
      <c r="G107" s="49">
        <v>1</v>
      </c>
      <c r="H107" s="48" t="s">
        <v>10</v>
      </c>
      <c r="I107" s="20">
        <v>775</v>
      </c>
      <c r="J107" s="21">
        <f>SUM(E107*I107/G107)</f>
        <v>542.5</v>
      </c>
    </row>
    <row r="108" spans="1:10" ht="25.5">
      <c r="A108" s="17"/>
      <c r="B108" s="17"/>
      <c r="C108" s="31">
        <v>2</v>
      </c>
      <c r="D108" s="27" t="s">
        <v>11</v>
      </c>
      <c r="E108" s="43">
        <v>1.4</v>
      </c>
      <c r="F108" s="48" t="s">
        <v>10</v>
      </c>
      <c r="G108" s="49">
        <v>1</v>
      </c>
      <c r="H108" s="48" t="s">
        <v>10</v>
      </c>
      <c r="I108" s="20">
        <v>650</v>
      </c>
      <c r="J108" s="21">
        <f>SUM(E108*I108/G108)</f>
        <v>909.99999999999989</v>
      </c>
    </row>
    <row r="109" spans="1:10">
      <c r="A109" s="17"/>
      <c r="B109" s="17"/>
      <c r="C109" s="31">
        <v>3</v>
      </c>
      <c r="D109" s="27" t="s">
        <v>12</v>
      </c>
      <c r="E109" s="43">
        <v>0.7</v>
      </c>
      <c r="F109" s="48" t="s">
        <v>10</v>
      </c>
      <c r="G109" s="49">
        <v>1</v>
      </c>
      <c r="H109" s="48" t="s">
        <v>10</v>
      </c>
      <c r="I109" s="20">
        <v>650</v>
      </c>
      <c r="J109" s="21">
        <f>SUM(E109*I109/G109)</f>
        <v>454.99999999999994</v>
      </c>
    </row>
    <row r="110" spans="1:10">
      <c r="A110" s="17"/>
      <c r="B110" s="17"/>
      <c r="C110" s="31"/>
      <c r="D110" s="44" t="s">
        <v>59</v>
      </c>
      <c r="E110" s="43"/>
      <c r="F110" s="30"/>
      <c r="G110" s="30"/>
      <c r="H110" s="30"/>
      <c r="I110" s="55"/>
      <c r="J110" s="21">
        <f>SUM(J107:J109)</f>
        <v>1907.5</v>
      </c>
    </row>
    <row r="111" spans="1:10">
      <c r="A111" s="17"/>
      <c r="B111" s="17"/>
      <c r="C111" s="31"/>
      <c r="D111" s="44" t="s">
        <v>60</v>
      </c>
      <c r="E111" s="43"/>
      <c r="F111" s="30"/>
      <c r="G111" s="30"/>
      <c r="H111" s="30"/>
      <c r="I111" s="55"/>
      <c r="J111" s="21">
        <f>SUM(J110/7)</f>
        <v>272.5</v>
      </c>
    </row>
    <row r="112" spans="1:10">
      <c r="A112" s="17"/>
      <c r="B112" s="17"/>
      <c r="C112" s="31"/>
      <c r="D112" s="13" t="s">
        <v>61</v>
      </c>
      <c r="E112" s="31"/>
      <c r="F112" s="17"/>
      <c r="G112" s="26"/>
      <c r="H112" s="17"/>
      <c r="I112" s="20"/>
      <c r="J112" s="21">
        <f>J111*0.4</f>
        <v>109</v>
      </c>
    </row>
    <row r="113" spans="1:10">
      <c r="A113" s="17"/>
      <c r="B113" s="17"/>
      <c r="C113" s="31"/>
      <c r="D113" s="13" t="s">
        <v>17</v>
      </c>
      <c r="E113" s="31"/>
      <c r="F113" s="17"/>
      <c r="G113" s="26"/>
      <c r="H113" s="17"/>
      <c r="I113" s="20"/>
      <c r="J113" s="21">
        <f>SUM(J111:J112)</f>
        <v>381.5</v>
      </c>
    </row>
    <row r="114" spans="1:10">
      <c r="A114" s="17"/>
      <c r="B114" s="17"/>
      <c r="C114" s="31"/>
      <c r="D114" s="27" t="s">
        <v>18</v>
      </c>
      <c r="E114" s="29"/>
      <c r="F114" s="24"/>
      <c r="G114" s="25"/>
      <c r="H114" s="26"/>
      <c r="I114" s="25"/>
      <c r="J114" s="21"/>
    </row>
    <row r="115" spans="1:10" ht="38.25">
      <c r="A115" s="17"/>
      <c r="B115" s="56" t="s">
        <v>62</v>
      </c>
      <c r="C115" s="31">
        <v>4</v>
      </c>
      <c r="D115" s="57" t="s">
        <v>84</v>
      </c>
      <c r="E115" s="43">
        <v>150</v>
      </c>
      <c r="F115" s="48" t="s">
        <v>64</v>
      </c>
      <c r="G115" s="49">
        <v>100</v>
      </c>
      <c r="H115" s="48" t="s">
        <v>32</v>
      </c>
      <c r="I115" s="34">
        <v>2530</v>
      </c>
      <c r="J115" s="21">
        <f>I115*E115/G115</f>
        <v>3795</v>
      </c>
    </row>
    <row r="116" spans="1:10" ht="25.5">
      <c r="A116" s="17"/>
      <c r="B116" s="17" t="s">
        <v>65</v>
      </c>
      <c r="C116" s="31">
        <v>5</v>
      </c>
      <c r="D116" s="16" t="s">
        <v>85</v>
      </c>
      <c r="E116" s="43">
        <v>7</v>
      </c>
      <c r="F116" s="48" t="s">
        <v>24</v>
      </c>
      <c r="G116" s="49">
        <v>1</v>
      </c>
      <c r="H116" s="48" t="s">
        <v>29</v>
      </c>
      <c r="I116" s="47">
        <v>25</v>
      </c>
      <c r="J116" s="21">
        <f t="shared" ref="J116:J121" si="3">SUM(E116*I116/G116)</f>
        <v>175</v>
      </c>
    </row>
    <row r="117" spans="1:10" ht="25.5">
      <c r="A117" s="17"/>
      <c r="B117" s="17" t="s">
        <v>67</v>
      </c>
      <c r="C117" s="31">
        <v>6</v>
      </c>
      <c r="D117" s="57" t="s">
        <v>68</v>
      </c>
      <c r="E117" s="43">
        <v>1</v>
      </c>
      <c r="F117" s="48" t="s">
        <v>24</v>
      </c>
      <c r="G117" s="49">
        <v>1</v>
      </c>
      <c r="H117" s="48" t="s">
        <v>29</v>
      </c>
      <c r="I117" s="47">
        <v>116</v>
      </c>
      <c r="J117" s="21">
        <f t="shared" si="3"/>
        <v>116</v>
      </c>
    </row>
    <row r="118" spans="1:10" ht="25.5">
      <c r="A118" s="17"/>
      <c r="B118" s="17" t="s">
        <v>69</v>
      </c>
      <c r="C118" s="31">
        <v>7</v>
      </c>
      <c r="D118" s="57" t="s">
        <v>70</v>
      </c>
      <c r="E118" s="43">
        <v>1</v>
      </c>
      <c r="F118" s="48" t="s">
        <v>24</v>
      </c>
      <c r="G118" s="49">
        <v>1</v>
      </c>
      <c r="H118" s="48" t="s">
        <v>29</v>
      </c>
      <c r="I118" s="47">
        <v>137</v>
      </c>
      <c r="J118" s="21">
        <f t="shared" si="3"/>
        <v>137</v>
      </c>
    </row>
    <row r="119" spans="1:10" ht="25.5">
      <c r="A119" s="17"/>
      <c r="B119" s="17" t="s">
        <v>71</v>
      </c>
      <c r="C119" s="31">
        <v>8</v>
      </c>
      <c r="D119" s="57" t="s">
        <v>72</v>
      </c>
      <c r="E119" s="43">
        <v>1</v>
      </c>
      <c r="F119" s="48" t="s">
        <v>24</v>
      </c>
      <c r="G119" s="49">
        <v>1</v>
      </c>
      <c r="H119" s="48" t="s">
        <v>29</v>
      </c>
      <c r="I119" s="47">
        <v>95</v>
      </c>
      <c r="J119" s="21">
        <f t="shared" si="3"/>
        <v>95</v>
      </c>
    </row>
    <row r="120" spans="1:10" ht="25.5">
      <c r="A120" s="17"/>
      <c r="B120" s="17" t="s">
        <v>73</v>
      </c>
      <c r="C120" s="31">
        <v>9</v>
      </c>
      <c r="D120" s="57" t="s">
        <v>74</v>
      </c>
      <c r="E120" s="43">
        <v>1</v>
      </c>
      <c r="F120" s="48" t="s">
        <v>24</v>
      </c>
      <c r="G120" s="49">
        <v>1</v>
      </c>
      <c r="H120" s="48" t="s">
        <v>29</v>
      </c>
      <c r="I120" s="47">
        <v>110</v>
      </c>
      <c r="J120" s="21">
        <f t="shared" si="3"/>
        <v>110</v>
      </c>
    </row>
    <row r="121" spans="1:10" ht="38.25">
      <c r="A121" s="17"/>
      <c r="B121" s="17" t="s">
        <v>75</v>
      </c>
      <c r="C121" s="31">
        <v>10</v>
      </c>
      <c r="D121" s="57" t="s">
        <v>86</v>
      </c>
      <c r="E121" s="43">
        <v>7</v>
      </c>
      <c r="F121" s="48" t="s">
        <v>24</v>
      </c>
      <c r="G121" s="49">
        <v>1</v>
      </c>
      <c r="H121" s="48" t="s">
        <v>29</v>
      </c>
      <c r="I121" s="47">
        <v>89</v>
      </c>
      <c r="J121" s="21">
        <f t="shared" si="3"/>
        <v>623</v>
      </c>
    </row>
    <row r="122" spans="1:10">
      <c r="A122" s="17"/>
      <c r="B122" s="17"/>
      <c r="C122" s="31"/>
      <c r="D122" s="57" t="s">
        <v>77</v>
      </c>
      <c r="E122" s="34"/>
      <c r="F122" s="34"/>
      <c r="G122" s="34"/>
      <c r="H122" s="34"/>
      <c r="I122" s="34"/>
      <c r="J122" s="21">
        <f>SUM(J115:J121)</f>
        <v>5051</v>
      </c>
    </row>
    <row r="123" spans="1:10">
      <c r="A123" s="17"/>
      <c r="B123" s="17"/>
      <c r="C123" s="31"/>
      <c r="D123" s="57" t="s">
        <v>78</v>
      </c>
      <c r="E123" s="34"/>
      <c r="F123" s="34"/>
      <c r="G123" s="34"/>
      <c r="H123" s="34"/>
      <c r="I123" s="34"/>
      <c r="J123" s="21">
        <f>J122/7</f>
        <v>721.57142857142856</v>
      </c>
    </row>
    <row r="124" spans="1:10">
      <c r="A124" s="17"/>
      <c r="B124" s="17"/>
      <c r="C124" s="31"/>
      <c r="D124" s="57" t="s">
        <v>79</v>
      </c>
      <c r="E124" s="34"/>
      <c r="F124" s="34"/>
      <c r="G124" s="34"/>
      <c r="H124" s="34"/>
      <c r="I124" s="34"/>
      <c r="J124" s="21">
        <f>J123+J113</f>
        <v>1103.0714285714284</v>
      </c>
    </row>
    <row r="125" spans="1:10">
      <c r="A125" s="17"/>
      <c r="B125" s="29"/>
      <c r="C125" s="30"/>
      <c r="D125" s="18" t="s">
        <v>36</v>
      </c>
      <c r="E125" s="24"/>
      <c r="F125" s="25"/>
      <c r="G125" s="26"/>
      <c r="H125" s="25"/>
      <c r="I125" s="20"/>
      <c r="J125" s="36">
        <f>(J124)*0.10615</f>
        <v>117.09103214285712</v>
      </c>
    </row>
    <row r="126" spans="1:10">
      <c r="A126" s="17"/>
      <c r="B126" s="29"/>
      <c r="C126" s="30"/>
      <c r="D126" s="18" t="s">
        <v>37</v>
      </c>
      <c r="E126" s="24"/>
      <c r="F126" s="25"/>
      <c r="G126" s="26"/>
      <c r="H126" s="25"/>
      <c r="I126" s="20"/>
      <c r="J126" s="36">
        <f>SUM(J124:J125)</f>
        <v>1220.1624607142855</v>
      </c>
    </row>
    <row r="127" spans="1:10" ht="89.25">
      <c r="A127" s="17"/>
      <c r="B127" s="29" t="s">
        <v>81</v>
      </c>
      <c r="C127" s="30"/>
      <c r="D127" s="18" t="s">
        <v>82</v>
      </c>
      <c r="E127" s="24"/>
      <c r="F127" s="25"/>
      <c r="G127" s="26"/>
      <c r="H127" s="25"/>
      <c r="I127" s="20"/>
      <c r="J127" s="36">
        <f>J126*80%</f>
        <v>976.12996857142844</v>
      </c>
    </row>
    <row r="128" spans="1:10">
      <c r="A128" s="17"/>
      <c r="B128" s="29"/>
      <c r="C128" s="30"/>
      <c r="D128" s="18" t="s">
        <v>38</v>
      </c>
      <c r="E128" s="24"/>
      <c r="F128" s="25"/>
      <c r="G128" s="26"/>
      <c r="H128" s="25"/>
      <c r="I128" s="20"/>
      <c r="J128" s="37">
        <f>ROUND(J127,0)</f>
        <v>976</v>
      </c>
    </row>
    <row r="129" spans="1:10">
      <c r="A129" s="38"/>
      <c r="B129" s="39"/>
      <c r="C129" s="40"/>
      <c r="D129" s="4" t="s">
        <v>648</v>
      </c>
      <c r="E129" s="41"/>
      <c r="F129" s="41"/>
      <c r="G129" s="41"/>
      <c r="H129" s="41"/>
      <c r="I129" s="41"/>
      <c r="J129" s="42"/>
    </row>
    <row r="130" spans="1:10">
      <c r="A130" s="17"/>
      <c r="B130" s="17"/>
      <c r="C130" s="31"/>
      <c r="D130" s="10" t="s">
        <v>1</v>
      </c>
      <c r="E130" s="29"/>
      <c r="F130" s="29"/>
      <c r="G130" s="29"/>
      <c r="H130" s="29"/>
      <c r="I130" s="30"/>
      <c r="J130" s="21"/>
    </row>
    <row r="131" spans="1:10" ht="140.25">
      <c r="A131" s="17"/>
      <c r="B131" s="26" t="s">
        <v>56</v>
      </c>
      <c r="C131" s="22"/>
      <c r="D131" s="44" t="s">
        <v>83</v>
      </c>
      <c r="E131" s="44"/>
      <c r="F131" s="44"/>
      <c r="G131" s="44"/>
      <c r="H131" s="44"/>
      <c r="I131" s="44"/>
      <c r="J131" s="16"/>
    </row>
    <row r="132" spans="1:10">
      <c r="A132" s="17"/>
      <c r="B132" s="17"/>
      <c r="C132" s="31"/>
      <c r="D132" s="45" t="s">
        <v>4</v>
      </c>
      <c r="E132" s="30"/>
      <c r="F132" s="30"/>
      <c r="G132" s="30"/>
      <c r="H132" s="30"/>
      <c r="I132" s="30"/>
      <c r="J132" s="34"/>
    </row>
    <row r="133" spans="1:10">
      <c r="A133" s="17"/>
      <c r="B133" s="17"/>
      <c r="C133" s="31">
        <v>1</v>
      </c>
      <c r="D133" s="23" t="s">
        <v>9</v>
      </c>
      <c r="E133" s="43">
        <v>0.7</v>
      </c>
      <c r="F133" s="48" t="s">
        <v>10</v>
      </c>
      <c r="G133" s="49">
        <v>1</v>
      </c>
      <c r="H133" s="48" t="s">
        <v>10</v>
      </c>
      <c r="I133" s="20">
        <v>775</v>
      </c>
      <c r="J133" s="21">
        <f>SUM(E133*I133/G133)</f>
        <v>542.5</v>
      </c>
    </row>
    <row r="134" spans="1:10" ht="25.5">
      <c r="A134" s="17"/>
      <c r="B134" s="17"/>
      <c r="C134" s="31">
        <v>2</v>
      </c>
      <c r="D134" s="27" t="s">
        <v>11</v>
      </c>
      <c r="E134" s="43">
        <v>1.4</v>
      </c>
      <c r="F134" s="48" t="s">
        <v>10</v>
      </c>
      <c r="G134" s="49">
        <v>1</v>
      </c>
      <c r="H134" s="48" t="s">
        <v>10</v>
      </c>
      <c r="I134" s="20">
        <v>650</v>
      </c>
      <c r="J134" s="21">
        <f>SUM(E134*I134/G134)</f>
        <v>909.99999999999989</v>
      </c>
    </row>
    <row r="135" spans="1:10">
      <c r="A135" s="17"/>
      <c r="B135" s="17"/>
      <c r="C135" s="31">
        <v>3</v>
      </c>
      <c r="D135" s="27" t="s">
        <v>12</v>
      </c>
      <c r="E135" s="43">
        <v>0.7</v>
      </c>
      <c r="F135" s="48" t="s">
        <v>10</v>
      </c>
      <c r="G135" s="49">
        <v>1</v>
      </c>
      <c r="H135" s="48" t="s">
        <v>10</v>
      </c>
      <c r="I135" s="20">
        <v>650</v>
      </c>
      <c r="J135" s="21">
        <f>SUM(E135*I135/G135)</f>
        <v>454.99999999999994</v>
      </c>
    </row>
    <row r="136" spans="1:10">
      <c r="A136" s="17"/>
      <c r="B136" s="17"/>
      <c r="C136" s="31"/>
      <c r="D136" s="44" t="s">
        <v>59</v>
      </c>
      <c r="E136" s="43"/>
      <c r="F136" s="30"/>
      <c r="G136" s="30"/>
      <c r="H136" s="30"/>
      <c r="I136" s="55"/>
      <c r="J136" s="21">
        <f>SUM(J133:J135)</f>
        <v>1907.5</v>
      </c>
    </row>
    <row r="137" spans="1:10">
      <c r="A137" s="17"/>
      <c r="B137" s="17"/>
      <c r="C137" s="31"/>
      <c r="D137" s="44" t="s">
        <v>60</v>
      </c>
      <c r="E137" s="43"/>
      <c r="F137" s="30"/>
      <c r="G137" s="30"/>
      <c r="H137" s="30"/>
      <c r="I137" s="55"/>
      <c r="J137" s="21">
        <f>SUM(J136/7)</f>
        <v>272.5</v>
      </c>
    </row>
    <row r="138" spans="1:10">
      <c r="A138" s="17"/>
      <c r="B138" s="17"/>
      <c r="C138" s="31"/>
      <c r="D138" s="13" t="s">
        <v>61</v>
      </c>
      <c r="E138" s="31"/>
      <c r="F138" s="17"/>
      <c r="G138" s="26"/>
      <c r="H138" s="17"/>
      <c r="I138" s="20"/>
      <c r="J138" s="21">
        <f>J137*0.4</f>
        <v>109</v>
      </c>
    </row>
    <row r="139" spans="1:10">
      <c r="A139" s="17"/>
      <c r="B139" s="17"/>
      <c r="C139" s="31"/>
      <c r="D139" s="13" t="s">
        <v>17</v>
      </c>
      <c r="E139" s="31"/>
      <c r="F139" s="17"/>
      <c r="G139" s="26"/>
      <c r="H139" s="17"/>
      <c r="I139" s="20"/>
      <c r="J139" s="21">
        <f>SUM(J137:J138)</f>
        <v>381.5</v>
      </c>
    </row>
    <row r="140" spans="1:10">
      <c r="A140" s="17"/>
      <c r="B140" s="17"/>
      <c r="C140" s="31"/>
      <c r="D140" s="27" t="s">
        <v>18</v>
      </c>
      <c r="E140" s="29"/>
      <c r="F140" s="24"/>
      <c r="G140" s="25"/>
      <c r="H140" s="26"/>
      <c r="I140" s="25"/>
      <c r="J140" s="21"/>
    </row>
    <row r="141" spans="1:10" ht="38.25">
      <c r="A141" s="17"/>
      <c r="B141" s="56" t="s">
        <v>62</v>
      </c>
      <c r="C141" s="31">
        <v>4</v>
      </c>
      <c r="D141" s="57" t="s">
        <v>84</v>
      </c>
      <c r="E141" s="43">
        <v>150</v>
      </c>
      <c r="F141" s="48" t="s">
        <v>64</v>
      </c>
      <c r="G141" s="49">
        <v>100</v>
      </c>
      <c r="H141" s="48" t="s">
        <v>32</v>
      </c>
      <c r="I141" s="34">
        <v>2530</v>
      </c>
      <c r="J141" s="21">
        <f>I141*E141/G141</f>
        <v>3795</v>
      </c>
    </row>
    <row r="142" spans="1:10" ht="25.5">
      <c r="A142" s="17"/>
      <c r="B142" s="17" t="s">
        <v>65</v>
      </c>
      <c r="C142" s="31">
        <v>5</v>
      </c>
      <c r="D142" s="16" t="s">
        <v>85</v>
      </c>
      <c r="E142" s="43">
        <v>7</v>
      </c>
      <c r="F142" s="48" t="s">
        <v>24</v>
      </c>
      <c r="G142" s="49">
        <v>1</v>
      </c>
      <c r="H142" s="48" t="s">
        <v>29</v>
      </c>
      <c r="I142" s="47">
        <v>25</v>
      </c>
      <c r="J142" s="21">
        <f t="shared" ref="J142:J147" si="4">SUM(E142*I142/G142)</f>
        <v>175</v>
      </c>
    </row>
    <row r="143" spans="1:10" ht="25.5">
      <c r="A143" s="17"/>
      <c r="B143" s="17" t="s">
        <v>67</v>
      </c>
      <c r="C143" s="31">
        <v>6</v>
      </c>
      <c r="D143" s="57" t="s">
        <v>68</v>
      </c>
      <c r="E143" s="43">
        <v>1</v>
      </c>
      <c r="F143" s="48" t="s">
        <v>24</v>
      </c>
      <c r="G143" s="49">
        <v>1</v>
      </c>
      <c r="H143" s="48" t="s">
        <v>29</v>
      </c>
      <c r="I143" s="47">
        <v>116</v>
      </c>
      <c r="J143" s="21">
        <f t="shared" si="4"/>
        <v>116</v>
      </c>
    </row>
    <row r="144" spans="1:10" ht="25.5">
      <c r="A144" s="17"/>
      <c r="B144" s="17" t="s">
        <v>69</v>
      </c>
      <c r="C144" s="31">
        <v>7</v>
      </c>
      <c r="D144" s="57" t="s">
        <v>70</v>
      </c>
      <c r="E144" s="43">
        <v>1</v>
      </c>
      <c r="F144" s="48" t="s">
        <v>24</v>
      </c>
      <c r="G144" s="49">
        <v>1</v>
      </c>
      <c r="H144" s="48" t="s">
        <v>29</v>
      </c>
      <c r="I144" s="47">
        <v>137</v>
      </c>
      <c r="J144" s="21">
        <f t="shared" si="4"/>
        <v>137</v>
      </c>
    </row>
    <row r="145" spans="1:10" ht="25.5">
      <c r="A145" s="17"/>
      <c r="B145" s="17" t="s">
        <v>71</v>
      </c>
      <c r="C145" s="31">
        <v>8</v>
      </c>
      <c r="D145" s="57" t="s">
        <v>72</v>
      </c>
      <c r="E145" s="43">
        <v>1</v>
      </c>
      <c r="F145" s="48" t="s">
        <v>24</v>
      </c>
      <c r="G145" s="49">
        <v>1</v>
      </c>
      <c r="H145" s="48" t="s">
        <v>29</v>
      </c>
      <c r="I145" s="47">
        <v>95</v>
      </c>
      <c r="J145" s="21">
        <f t="shared" si="4"/>
        <v>95</v>
      </c>
    </row>
    <row r="146" spans="1:10" ht="25.5">
      <c r="A146" s="17"/>
      <c r="B146" s="17" t="s">
        <v>73</v>
      </c>
      <c r="C146" s="31">
        <v>9</v>
      </c>
      <c r="D146" s="57" t="s">
        <v>74</v>
      </c>
      <c r="E146" s="43">
        <v>1</v>
      </c>
      <c r="F146" s="48" t="s">
        <v>24</v>
      </c>
      <c r="G146" s="49">
        <v>1</v>
      </c>
      <c r="H146" s="48" t="s">
        <v>29</v>
      </c>
      <c r="I146" s="47">
        <v>110</v>
      </c>
      <c r="J146" s="21">
        <f t="shared" si="4"/>
        <v>110</v>
      </c>
    </row>
    <row r="147" spans="1:10" ht="38.25">
      <c r="A147" s="17"/>
      <c r="B147" s="17" t="s">
        <v>75</v>
      </c>
      <c r="C147" s="31">
        <v>10</v>
      </c>
      <c r="D147" s="57" t="s">
        <v>86</v>
      </c>
      <c r="E147" s="43">
        <v>7</v>
      </c>
      <c r="F147" s="48" t="s">
        <v>24</v>
      </c>
      <c r="G147" s="49">
        <v>1</v>
      </c>
      <c r="H147" s="48" t="s">
        <v>29</v>
      </c>
      <c r="I147" s="47">
        <v>89</v>
      </c>
      <c r="J147" s="21">
        <f t="shared" si="4"/>
        <v>623</v>
      </c>
    </row>
    <row r="148" spans="1:10">
      <c r="A148" s="17"/>
      <c r="B148" s="17"/>
      <c r="C148" s="31"/>
      <c r="D148" s="57" t="s">
        <v>77</v>
      </c>
      <c r="E148" s="34"/>
      <c r="F148" s="34"/>
      <c r="G148" s="34"/>
      <c r="H148" s="34"/>
      <c r="I148" s="34"/>
      <c r="J148" s="21">
        <f>SUM(J141:J147)</f>
        <v>5051</v>
      </c>
    </row>
    <row r="149" spans="1:10">
      <c r="A149" s="17"/>
      <c r="B149" s="17"/>
      <c r="C149" s="31"/>
      <c r="D149" s="57" t="s">
        <v>78</v>
      </c>
      <c r="E149" s="34"/>
      <c r="F149" s="34"/>
      <c r="G149" s="34"/>
      <c r="H149" s="34"/>
      <c r="I149" s="34"/>
      <c r="J149" s="21">
        <f>J148/7</f>
        <v>721.57142857142856</v>
      </c>
    </row>
    <row r="150" spans="1:10">
      <c r="A150" s="17"/>
      <c r="B150" s="17"/>
      <c r="C150" s="31"/>
      <c r="D150" s="57" t="s">
        <v>79</v>
      </c>
      <c r="E150" s="34"/>
      <c r="F150" s="34"/>
      <c r="G150" s="34"/>
      <c r="H150" s="34"/>
      <c r="I150" s="34"/>
      <c r="J150" s="21">
        <f>J149+J139</f>
        <v>1103.0714285714284</v>
      </c>
    </row>
    <row r="151" spans="1:10">
      <c r="A151" s="17"/>
      <c r="B151" s="29"/>
      <c r="C151" s="30"/>
      <c r="D151" s="18" t="s">
        <v>36</v>
      </c>
      <c r="E151" s="24"/>
      <c r="F151" s="25"/>
      <c r="G151" s="26"/>
      <c r="H151" s="25"/>
      <c r="I151" s="20"/>
      <c r="J151" s="36">
        <f>(J150)*0.10615</f>
        <v>117.09103214285712</v>
      </c>
    </row>
    <row r="152" spans="1:10">
      <c r="A152" s="17"/>
      <c r="B152" s="29"/>
      <c r="C152" s="30"/>
      <c r="D152" s="18" t="s">
        <v>37</v>
      </c>
      <c r="E152" s="24"/>
      <c r="F152" s="25"/>
      <c r="G152" s="26"/>
      <c r="H152" s="25"/>
      <c r="I152" s="20"/>
      <c r="J152" s="36">
        <f>SUM(J150:J151)</f>
        <v>1220.1624607142855</v>
      </c>
    </row>
    <row r="153" spans="1:10" ht="89.25">
      <c r="A153" s="17"/>
      <c r="B153" s="29" t="s">
        <v>81</v>
      </c>
      <c r="C153" s="30"/>
      <c r="D153" s="18" t="s">
        <v>82</v>
      </c>
      <c r="E153" s="24"/>
      <c r="F153" s="25"/>
      <c r="G153" s="26"/>
      <c r="H153" s="25"/>
      <c r="I153" s="20"/>
      <c r="J153" s="36">
        <f>J152*80%</f>
        <v>976.12996857142844</v>
      </c>
    </row>
    <row r="154" spans="1:10">
      <c r="A154" s="17"/>
      <c r="B154" s="29"/>
      <c r="C154" s="30"/>
      <c r="D154" s="18" t="s">
        <v>38</v>
      </c>
      <c r="E154" s="24"/>
      <c r="F154" s="25"/>
      <c r="G154" s="26"/>
      <c r="H154" s="25"/>
      <c r="I154" s="20"/>
      <c r="J154" s="37">
        <f>ROUND(J153,0)</f>
        <v>976</v>
      </c>
    </row>
    <row r="155" spans="1:10">
      <c r="A155" s="38"/>
      <c r="B155" s="39"/>
      <c r="C155" s="40"/>
      <c r="D155" s="4" t="s">
        <v>87</v>
      </c>
      <c r="E155" s="41"/>
      <c r="F155" s="41"/>
      <c r="G155" s="41"/>
      <c r="H155" s="41"/>
      <c r="I155" s="41"/>
      <c r="J155" s="42"/>
    </row>
    <row r="156" spans="1:10">
      <c r="A156" s="17"/>
      <c r="B156" s="17"/>
      <c r="C156" s="31"/>
      <c r="D156" s="10" t="s">
        <v>1</v>
      </c>
      <c r="E156" s="34"/>
      <c r="F156" s="34"/>
      <c r="G156" s="34"/>
      <c r="H156" s="34"/>
      <c r="I156" s="34"/>
      <c r="J156" s="34"/>
    </row>
    <row r="157" spans="1:10" ht="76.5">
      <c r="A157" s="17"/>
      <c r="B157" s="26" t="s">
        <v>88</v>
      </c>
      <c r="C157" s="22"/>
      <c r="D157" s="13" t="s">
        <v>89</v>
      </c>
      <c r="E157" s="13"/>
      <c r="F157" s="13"/>
      <c r="G157" s="13"/>
      <c r="H157" s="13"/>
      <c r="I157" s="13"/>
      <c r="J157" s="16"/>
    </row>
    <row r="158" spans="1:10">
      <c r="A158" s="17"/>
      <c r="B158" s="26"/>
      <c r="C158" s="22"/>
      <c r="D158" s="18" t="s">
        <v>4</v>
      </c>
      <c r="E158" s="24"/>
      <c r="F158" s="17"/>
      <c r="G158" s="26"/>
      <c r="H158" s="17"/>
      <c r="I158" s="20"/>
      <c r="J158" s="21"/>
    </row>
    <row r="159" spans="1:10">
      <c r="A159" s="17"/>
      <c r="B159" s="26"/>
      <c r="C159" s="22">
        <v>1</v>
      </c>
      <c r="D159" s="23" t="s">
        <v>9</v>
      </c>
      <c r="E159" s="58">
        <v>6.7000000000000004E-2</v>
      </c>
      <c r="F159" s="25" t="s">
        <v>10</v>
      </c>
      <c r="G159" s="26">
        <v>1</v>
      </c>
      <c r="H159" s="25" t="s">
        <v>10</v>
      </c>
      <c r="I159" s="20">
        <v>775</v>
      </c>
      <c r="J159" s="21">
        <f>SUM(E159*I159/G159)</f>
        <v>51.925000000000004</v>
      </c>
    </row>
    <row r="160" spans="1:10">
      <c r="A160" s="17"/>
      <c r="B160" s="26"/>
      <c r="C160" s="22">
        <v>2</v>
      </c>
      <c r="D160" s="27" t="s">
        <v>12</v>
      </c>
      <c r="E160" s="58">
        <v>6.7000000000000004E-2</v>
      </c>
      <c r="F160" s="25" t="s">
        <v>10</v>
      </c>
      <c r="G160" s="26">
        <v>1</v>
      </c>
      <c r="H160" s="25" t="s">
        <v>10</v>
      </c>
      <c r="I160" s="20">
        <v>650</v>
      </c>
      <c r="J160" s="21">
        <f>SUM(E160*I160/G160)</f>
        <v>43.550000000000004</v>
      </c>
    </row>
    <row r="161" spans="1:10">
      <c r="A161" s="17"/>
      <c r="B161" s="26"/>
      <c r="C161" s="22"/>
      <c r="D161" s="18" t="s">
        <v>90</v>
      </c>
      <c r="E161" s="24"/>
      <c r="F161" s="25"/>
      <c r="G161" s="26"/>
      <c r="H161" s="25"/>
      <c r="I161" s="20"/>
      <c r="J161" s="21">
        <f>SUM(J159:J160)</f>
        <v>95.475000000000009</v>
      </c>
    </row>
    <row r="162" spans="1:10">
      <c r="A162" s="17"/>
      <c r="B162" s="26"/>
      <c r="C162" s="22"/>
      <c r="D162" s="13" t="s">
        <v>61</v>
      </c>
      <c r="E162" s="31"/>
      <c r="F162" s="17"/>
      <c r="G162" s="26"/>
      <c r="H162" s="17"/>
      <c r="I162" s="20"/>
      <c r="J162" s="21">
        <f>J161*0.4</f>
        <v>38.190000000000005</v>
      </c>
    </row>
    <row r="163" spans="1:10">
      <c r="A163" s="17"/>
      <c r="B163" s="26"/>
      <c r="C163" s="22"/>
      <c r="D163" s="13" t="s">
        <v>17</v>
      </c>
      <c r="E163" s="31"/>
      <c r="F163" s="17"/>
      <c r="G163" s="26"/>
      <c r="H163" s="17"/>
      <c r="I163" s="20"/>
      <c r="J163" s="21">
        <f>SUM(J161:J162)</f>
        <v>133.66500000000002</v>
      </c>
    </row>
    <row r="164" spans="1:10">
      <c r="A164" s="17"/>
      <c r="B164" s="26"/>
      <c r="C164" s="22"/>
      <c r="D164" s="18" t="s">
        <v>18</v>
      </c>
      <c r="E164" s="24"/>
      <c r="F164" s="25"/>
      <c r="G164" s="26"/>
      <c r="H164" s="25"/>
      <c r="I164" s="20"/>
      <c r="J164" s="21"/>
    </row>
    <row r="165" spans="1:10" ht="25.5">
      <c r="A165" s="17"/>
      <c r="B165" s="17" t="s">
        <v>67</v>
      </c>
      <c r="C165" s="22">
        <v>3</v>
      </c>
      <c r="D165" s="59" t="s">
        <v>68</v>
      </c>
      <c r="E165" s="26">
        <v>1</v>
      </c>
      <c r="F165" s="17" t="s">
        <v>24</v>
      </c>
      <c r="G165" s="26">
        <v>1</v>
      </c>
      <c r="H165" s="17" t="s">
        <v>29</v>
      </c>
      <c r="I165" s="20">
        <v>116</v>
      </c>
      <c r="J165" s="21">
        <f>SUM(E165*I165/G165)</f>
        <v>116</v>
      </c>
    </row>
    <row r="166" spans="1:10" ht="25.5">
      <c r="A166" s="17"/>
      <c r="B166" s="17" t="s">
        <v>71</v>
      </c>
      <c r="C166" s="22">
        <v>4</v>
      </c>
      <c r="D166" s="57" t="s">
        <v>91</v>
      </c>
      <c r="E166" s="26">
        <v>1</v>
      </c>
      <c r="F166" s="17" t="s">
        <v>24</v>
      </c>
      <c r="G166" s="26">
        <v>1</v>
      </c>
      <c r="H166" s="17" t="s">
        <v>29</v>
      </c>
      <c r="I166" s="47">
        <v>95</v>
      </c>
      <c r="J166" s="21">
        <f>SUM(E166*I166/G166)</f>
        <v>95</v>
      </c>
    </row>
    <row r="167" spans="1:10" ht="38.25">
      <c r="A167" s="17"/>
      <c r="B167" s="17" t="s">
        <v>75</v>
      </c>
      <c r="C167" s="31">
        <v>5</v>
      </c>
      <c r="D167" s="57" t="s">
        <v>92</v>
      </c>
      <c r="E167" s="26">
        <v>1</v>
      </c>
      <c r="F167" s="17" t="s">
        <v>24</v>
      </c>
      <c r="G167" s="26">
        <v>1</v>
      </c>
      <c r="H167" s="17" t="s">
        <v>29</v>
      </c>
      <c r="I167" s="47">
        <v>89</v>
      </c>
      <c r="J167" s="21">
        <f>SUM(E167*I167/G167)</f>
        <v>89</v>
      </c>
    </row>
    <row r="168" spans="1:10" ht="38.25">
      <c r="A168" s="17"/>
      <c r="B168" s="17" t="s">
        <v>93</v>
      </c>
      <c r="C168" s="22">
        <v>6</v>
      </c>
      <c r="D168" s="18" t="s">
        <v>94</v>
      </c>
      <c r="E168" s="26">
        <v>1</v>
      </c>
      <c r="F168" s="17" t="s">
        <v>24</v>
      </c>
      <c r="G168" s="26">
        <v>1</v>
      </c>
      <c r="H168" s="17" t="s">
        <v>29</v>
      </c>
      <c r="I168" s="20">
        <v>131</v>
      </c>
      <c r="J168" s="21">
        <f>SUM(E168*I168/G168)</f>
        <v>131</v>
      </c>
    </row>
    <row r="169" spans="1:10">
      <c r="A169" s="17"/>
      <c r="B169" s="26"/>
      <c r="C169" s="22"/>
      <c r="D169" s="57" t="s">
        <v>95</v>
      </c>
      <c r="E169" s="26"/>
      <c r="F169" s="17"/>
      <c r="G169" s="26"/>
      <c r="H169" s="17"/>
      <c r="I169" s="20"/>
      <c r="J169" s="21">
        <f>SUM(J165:J168)</f>
        <v>431</v>
      </c>
    </row>
    <row r="170" spans="1:10">
      <c r="A170" s="17"/>
      <c r="B170" s="26"/>
      <c r="C170" s="22"/>
      <c r="D170" s="57" t="s">
        <v>96</v>
      </c>
      <c r="E170" s="24"/>
      <c r="F170" s="17"/>
      <c r="G170" s="26"/>
      <c r="H170" s="17"/>
      <c r="I170" s="20"/>
      <c r="J170" s="21">
        <f>J169+J163</f>
        <v>564.66499999999996</v>
      </c>
    </row>
    <row r="171" spans="1:10">
      <c r="A171" s="17"/>
      <c r="B171" s="29"/>
      <c r="C171" s="30"/>
      <c r="D171" s="18" t="s">
        <v>36</v>
      </c>
      <c r="E171" s="24"/>
      <c r="F171" s="25"/>
      <c r="G171" s="26"/>
      <c r="H171" s="25"/>
      <c r="I171" s="20"/>
      <c r="J171" s="36">
        <f>(J170)*0.10615</f>
        <v>59.93918974999999</v>
      </c>
    </row>
    <row r="172" spans="1:10">
      <c r="A172" s="17"/>
      <c r="B172" s="29"/>
      <c r="C172" s="30"/>
      <c r="D172" s="18" t="s">
        <v>37</v>
      </c>
      <c r="E172" s="24"/>
      <c r="F172" s="25"/>
      <c r="G172" s="26"/>
      <c r="H172" s="25"/>
      <c r="I172" s="20"/>
      <c r="J172" s="36">
        <f>SUM(J170:J171)</f>
        <v>624.60418974999993</v>
      </c>
    </row>
    <row r="173" spans="1:10">
      <c r="A173" s="17"/>
      <c r="B173" s="29"/>
      <c r="C173" s="30"/>
      <c r="D173" s="18" t="s">
        <v>38</v>
      </c>
      <c r="E173" s="24"/>
      <c r="F173" s="25"/>
      <c r="G173" s="26"/>
      <c r="H173" s="25"/>
      <c r="I173" s="20"/>
      <c r="J173" s="37">
        <f>ROUND(J172,0)</f>
        <v>625</v>
      </c>
    </row>
    <row r="174" spans="1:10">
      <c r="A174" s="38"/>
      <c r="B174" s="39"/>
      <c r="C174" s="40"/>
      <c r="D174" s="4" t="s">
        <v>97</v>
      </c>
      <c r="E174" s="41"/>
      <c r="F174" s="41"/>
      <c r="G174" s="41"/>
      <c r="H174" s="41"/>
      <c r="I174" s="41"/>
      <c r="J174" s="42"/>
    </row>
    <row r="175" spans="1:10">
      <c r="A175" s="17"/>
      <c r="B175" s="26"/>
      <c r="C175" s="22"/>
      <c r="D175" s="10" t="s">
        <v>1</v>
      </c>
      <c r="E175" s="24"/>
      <c r="F175" s="17"/>
      <c r="G175" s="26"/>
      <c r="H175" s="17"/>
      <c r="I175" s="20"/>
      <c r="J175" s="21"/>
    </row>
    <row r="176" spans="1:10" ht="89.25">
      <c r="A176" s="17"/>
      <c r="B176" s="26" t="s">
        <v>98</v>
      </c>
      <c r="C176" s="22"/>
      <c r="D176" s="13" t="s">
        <v>99</v>
      </c>
      <c r="E176" s="13"/>
      <c r="F176" s="13"/>
      <c r="G176" s="13"/>
      <c r="H176" s="13"/>
      <c r="I176" s="13"/>
      <c r="J176" s="16"/>
    </row>
    <row r="177" spans="1:10">
      <c r="A177" s="17"/>
      <c r="B177" s="26"/>
      <c r="C177" s="22"/>
      <c r="D177" s="18" t="s">
        <v>4</v>
      </c>
      <c r="E177" s="24"/>
      <c r="F177" s="17"/>
      <c r="G177" s="26"/>
      <c r="H177" s="17"/>
      <c r="I177" s="20"/>
      <c r="J177" s="21"/>
    </row>
    <row r="178" spans="1:10">
      <c r="A178" s="17"/>
      <c r="B178" s="26"/>
      <c r="C178" s="22">
        <v>1</v>
      </c>
      <c r="D178" s="23" t="s">
        <v>9</v>
      </c>
      <c r="E178" s="24">
        <v>0.1</v>
      </c>
      <c r="F178" s="25" t="s">
        <v>10</v>
      </c>
      <c r="G178" s="26">
        <v>1</v>
      </c>
      <c r="H178" s="25" t="s">
        <v>10</v>
      </c>
      <c r="I178" s="20">
        <v>775</v>
      </c>
      <c r="J178" s="21">
        <f>SUM(E178*I178/G178)</f>
        <v>77.5</v>
      </c>
    </row>
    <row r="179" spans="1:10" ht="25.5">
      <c r="A179" s="17"/>
      <c r="B179" s="26"/>
      <c r="C179" s="22">
        <v>2</v>
      </c>
      <c r="D179" s="27" t="s">
        <v>11</v>
      </c>
      <c r="E179" s="24">
        <v>0.1</v>
      </c>
      <c r="F179" s="25" t="s">
        <v>10</v>
      </c>
      <c r="G179" s="26">
        <v>1</v>
      </c>
      <c r="H179" s="25" t="s">
        <v>10</v>
      </c>
      <c r="I179" s="20">
        <v>650</v>
      </c>
      <c r="J179" s="21">
        <f>SUM(E179*I179/G179)</f>
        <v>65</v>
      </c>
    </row>
    <row r="180" spans="1:10">
      <c r="A180" s="17"/>
      <c r="B180" s="26"/>
      <c r="C180" s="22">
        <v>3</v>
      </c>
      <c r="D180" s="27" t="s">
        <v>12</v>
      </c>
      <c r="E180" s="24">
        <v>0.1</v>
      </c>
      <c r="F180" s="25" t="s">
        <v>10</v>
      </c>
      <c r="G180" s="26">
        <v>1</v>
      </c>
      <c r="H180" s="25" t="s">
        <v>10</v>
      </c>
      <c r="I180" s="20">
        <v>650</v>
      </c>
      <c r="J180" s="21">
        <f>SUM(E180*I180/G180)</f>
        <v>65</v>
      </c>
    </row>
    <row r="181" spans="1:10">
      <c r="A181" s="17"/>
      <c r="B181" s="26"/>
      <c r="C181" s="22"/>
      <c r="D181" s="18" t="s">
        <v>100</v>
      </c>
      <c r="E181" s="24"/>
      <c r="F181" s="25"/>
      <c r="G181" s="26"/>
      <c r="H181" s="25"/>
      <c r="I181" s="20"/>
      <c r="J181" s="21">
        <f>SUM(J178:J180)</f>
        <v>207.5</v>
      </c>
    </row>
    <row r="182" spans="1:10">
      <c r="A182" s="17"/>
      <c r="B182" s="26"/>
      <c r="C182" s="22"/>
      <c r="D182" s="13" t="s">
        <v>61</v>
      </c>
      <c r="E182" s="31"/>
      <c r="F182" s="17"/>
      <c r="G182" s="26"/>
      <c r="H182" s="17"/>
      <c r="I182" s="20"/>
      <c r="J182" s="21">
        <f>J181*0.4</f>
        <v>83</v>
      </c>
    </row>
    <row r="183" spans="1:10">
      <c r="A183" s="17"/>
      <c r="B183" s="26"/>
      <c r="C183" s="22"/>
      <c r="D183" s="13" t="s">
        <v>17</v>
      </c>
      <c r="E183" s="31"/>
      <c r="F183" s="17"/>
      <c r="G183" s="26"/>
      <c r="H183" s="17"/>
      <c r="I183" s="20"/>
      <c r="J183" s="21">
        <f>SUM(J181:J182)</f>
        <v>290.5</v>
      </c>
    </row>
    <row r="184" spans="1:10">
      <c r="A184" s="17"/>
      <c r="B184" s="26"/>
      <c r="C184" s="22"/>
      <c r="D184" s="18" t="s">
        <v>18</v>
      </c>
      <c r="E184" s="24"/>
      <c r="F184" s="25"/>
      <c r="G184" s="26"/>
      <c r="H184" s="25"/>
      <c r="I184" s="20"/>
      <c r="J184" s="21"/>
    </row>
    <row r="185" spans="1:10" ht="25.5">
      <c r="A185" s="17"/>
      <c r="B185" s="17" t="s">
        <v>67</v>
      </c>
      <c r="C185" s="22">
        <v>4</v>
      </c>
      <c r="D185" s="59" t="s">
        <v>68</v>
      </c>
      <c r="E185" s="26">
        <v>1</v>
      </c>
      <c r="F185" s="17" t="s">
        <v>24</v>
      </c>
      <c r="G185" s="26">
        <v>1</v>
      </c>
      <c r="H185" s="17" t="s">
        <v>29</v>
      </c>
      <c r="I185" s="20">
        <v>116</v>
      </c>
      <c r="J185" s="21">
        <f>SUM(E185*I185/G185)</f>
        <v>116</v>
      </c>
    </row>
    <row r="186" spans="1:10" ht="25.5">
      <c r="A186" s="17"/>
      <c r="B186" s="17" t="s">
        <v>71</v>
      </c>
      <c r="C186" s="22">
        <v>5</v>
      </c>
      <c r="D186" s="57" t="s">
        <v>72</v>
      </c>
      <c r="E186" s="26">
        <v>1</v>
      </c>
      <c r="F186" s="17" t="s">
        <v>24</v>
      </c>
      <c r="G186" s="26">
        <v>1</v>
      </c>
      <c r="H186" s="17" t="s">
        <v>29</v>
      </c>
      <c r="I186" s="60">
        <v>95</v>
      </c>
      <c r="J186" s="21">
        <f>SUM(E186*I186/G186)</f>
        <v>95</v>
      </c>
    </row>
    <row r="187" spans="1:10" ht="38.25">
      <c r="A187" s="17"/>
      <c r="B187" s="26" t="s">
        <v>101</v>
      </c>
      <c r="C187" s="22">
        <v>6</v>
      </c>
      <c r="D187" s="18" t="s">
        <v>102</v>
      </c>
      <c r="E187" s="26">
        <v>1</v>
      </c>
      <c r="F187" s="17" t="s">
        <v>24</v>
      </c>
      <c r="G187" s="26">
        <v>1</v>
      </c>
      <c r="H187" s="17" t="s">
        <v>29</v>
      </c>
      <c r="I187" s="20">
        <v>116</v>
      </c>
      <c r="J187" s="21">
        <f>SUM(E187*I187/G187)</f>
        <v>116</v>
      </c>
    </row>
    <row r="188" spans="1:10" ht="38.25">
      <c r="A188" s="17"/>
      <c r="B188" s="26" t="s">
        <v>103</v>
      </c>
      <c r="C188" s="22">
        <v>7</v>
      </c>
      <c r="D188" s="18" t="s">
        <v>104</v>
      </c>
      <c r="E188" s="26">
        <v>1</v>
      </c>
      <c r="F188" s="17" t="s">
        <v>24</v>
      </c>
      <c r="G188" s="26">
        <v>1</v>
      </c>
      <c r="H188" s="17" t="s">
        <v>29</v>
      </c>
      <c r="I188" s="20">
        <v>189</v>
      </c>
      <c r="J188" s="21">
        <f>SUM(E188*I188/G188)</f>
        <v>189</v>
      </c>
    </row>
    <row r="189" spans="1:10">
      <c r="A189" s="17"/>
      <c r="B189" s="26"/>
      <c r="C189" s="22"/>
      <c r="D189" s="57" t="s">
        <v>95</v>
      </c>
      <c r="E189" s="26"/>
      <c r="F189" s="17"/>
      <c r="G189" s="26"/>
      <c r="H189" s="17"/>
      <c r="I189" s="20"/>
      <c r="J189" s="21">
        <f>SUM(J185:J188)</f>
        <v>516</v>
      </c>
    </row>
    <row r="190" spans="1:10">
      <c r="A190" s="17"/>
      <c r="B190" s="26"/>
      <c r="C190" s="22"/>
      <c r="D190" s="57" t="s">
        <v>96</v>
      </c>
      <c r="E190" s="24"/>
      <c r="F190" s="17"/>
      <c r="G190" s="26"/>
      <c r="H190" s="17"/>
      <c r="I190" s="20"/>
      <c r="J190" s="21">
        <f>J189+J183</f>
        <v>806.5</v>
      </c>
    </row>
    <row r="191" spans="1:10">
      <c r="A191" s="17"/>
      <c r="B191" s="29"/>
      <c r="C191" s="30"/>
      <c r="D191" s="18" t="s">
        <v>36</v>
      </c>
      <c r="E191" s="24"/>
      <c r="F191" s="25"/>
      <c r="G191" s="26"/>
      <c r="H191" s="25"/>
      <c r="I191" s="20"/>
      <c r="J191" s="36">
        <f>(J190)*0.10615</f>
        <v>85.609974999999991</v>
      </c>
    </row>
    <row r="192" spans="1:10">
      <c r="A192" s="17"/>
      <c r="B192" s="29"/>
      <c r="C192" s="30"/>
      <c r="D192" s="18" t="s">
        <v>37</v>
      </c>
      <c r="E192" s="24"/>
      <c r="F192" s="25"/>
      <c r="G192" s="26"/>
      <c r="H192" s="25"/>
      <c r="I192" s="20"/>
      <c r="J192" s="36">
        <f>SUM(J190:J191)</f>
        <v>892.10997499999996</v>
      </c>
    </row>
    <row r="193" spans="1:10">
      <c r="A193" s="17"/>
      <c r="B193" s="29"/>
      <c r="C193" s="30"/>
      <c r="D193" s="18" t="s">
        <v>38</v>
      </c>
      <c r="E193" s="24"/>
      <c r="F193" s="25"/>
      <c r="G193" s="26"/>
      <c r="H193" s="25"/>
      <c r="I193" s="20"/>
      <c r="J193" s="37">
        <f>ROUND(J192,0)</f>
        <v>892</v>
      </c>
    </row>
    <row r="194" spans="1:10">
      <c r="A194" s="38"/>
      <c r="B194" s="39"/>
      <c r="C194" s="40"/>
      <c r="D194" s="4" t="s">
        <v>105</v>
      </c>
      <c r="E194" s="41"/>
      <c r="F194" s="41"/>
      <c r="G194" s="41"/>
      <c r="H194" s="41"/>
      <c r="I194" s="41"/>
      <c r="J194" s="42"/>
    </row>
    <row r="195" spans="1:10">
      <c r="A195" s="17"/>
      <c r="B195" s="26"/>
      <c r="C195" s="22"/>
      <c r="D195" s="10" t="s">
        <v>1</v>
      </c>
      <c r="E195" s="24"/>
      <c r="F195" s="17"/>
      <c r="G195" s="26"/>
      <c r="H195" s="17"/>
      <c r="I195" s="20"/>
      <c r="J195" s="21"/>
    </row>
    <row r="196" spans="1:10" ht="89.25">
      <c r="A196" s="17"/>
      <c r="B196" s="26" t="s">
        <v>106</v>
      </c>
      <c r="C196" s="22"/>
      <c r="D196" s="13" t="s">
        <v>107</v>
      </c>
      <c r="E196" s="13"/>
      <c r="F196" s="13"/>
      <c r="G196" s="13"/>
      <c r="H196" s="13"/>
      <c r="I196" s="13"/>
      <c r="J196" s="16"/>
    </row>
    <row r="197" spans="1:10">
      <c r="A197" s="17"/>
      <c r="B197" s="26"/>
      <c r="C197" s="22"/>
      <c r="D197" s="18" t="s">
        <v>4</v>
      </c>
      <c r="E197" s="24"/>
      <c r="F197" s="17"/>
      <c r="G197" s="26"/>
      <c r="H197" s="17"/>
      <c r="I197" s="20"/>
      <c r="J197" s="21"/>
    </row>
    <row r="198" spans="1:10">
      <c r="A198" s="17"/>
      <c r="B198" s="26"/>
      <c r="C198" s="22">
        <v>1</v>
      </c>
      <c r="D198" s="23" t="s">
        <v>9</v>
      </c>
      <c r="E198" s="24">
        <v>0.2</v>
      </c>
      <c r="F198" s="25" t="s">
        <v>10</v>
      </c>
      <c r="G198" s="26">
        <v>1</v>
      </c>
      <c r="H198" s="25" t="s">
        <v>10</v>
      </c>
      <c r="I198" s="20">
        <v>775</v>
      </c>
      <c r="J198" s="21">
        <f>SUM(E198*I198/G198)</f>
        <v>155</v>
      </c>
    </row>
    <row r="199" spans="1:10" ht="25.5">
      <c r="A199" s="17"/>
      <c r="B199" s="26"/>
      <c r="C199" s="22">
        <v>2</v>
      </c>
      <c r="D199" s="27" t="s">
        <v>11</v>
      </c>
      <c r="E199" s="24">
        <v>0.2</v>
      </c>
      <c r="F199" s="25" t="s">
        <v>10</v>
      </c>
      <c r="G199" s="26">
        <v>1</v>
      </c>
      <c r="H199" s="25" t="s">
        <v>10</v>
      </c>
      <c r="I199" s="20">
        <v>650</v>
      </c>
      <c r="J199" s="21">
        <f>SUM(E199*I199/G199)</f>
        <v>130</v>
      </c>
    </row>
    <row r="200" spans="1:10">
      <c r="A200" s="17"/>
      <c r="B200" s="26"/>
      <c r="C200" s="22">
        <v>3</v>
      </c>
      <c r="D200" s="27" t="s">
        <v>12</v>
      </c>
      <c r="E200" s="24">
        <v>0.2</v>
      </c>
      <c r="F200" s="25" t="s">
        <v>10</v>
      </c>
      <c r="G200" s="26">
        <v>1</v>
      </c>
      <c r="H200" s="25" t="s">
        <v>10</v>
      </c>
      <c r="I200" s="20">
        <v>650</v>
      </c>
      <c r="J200" s="21">
        <f>SUM(E200*I200/G200)</f>
        <v>130</v>
      </c>
    </row>
    <row r="201" spans="1:10">
      <c r="A201" s="17"/>
      <c r="B201" s="26"/>
      <c r="C201" s="22"/>
      <c r="D201" s="18" t="s">
        <v>100</v>
      </c>
      <c r="E201" s="24"/>
      <c r="F201" s="25"/>
      <c r="G201" s="26"/>
      <c r="H201" s="25"/>
      <c r="I201" s="20"/>
      <c r="J201" s="21">
        <f>SUM(J198:J200)</f>
        <v>415</v>
      </c>
    </row>
    <row r="202" spans="1:10">
      <c r="A202" s="17"/>
      <c r="B202" s="26"/>
      <c r="C202" s="22"/>
      <c r="D202" s="13" t="s">
        <v>61</v>
      </c>
      <c r="E202" s="31"/>
      <c r="F202" s="17"/>
      <c r="G202" s="26"/>
      <c r="H202" s="17"/>
      <c r="I202" s="20"/>
      <c r="J202" s="21">
        <f>J201*0.4</f>
        <v>166</v>
      </c>
    </row>
    <row r="203" spans="1:10">
      <c r="A203" s="17"/>
      <c r="B203" s="26"/>
      <c r="C203" s="22"/>
      <c r="D203" s="13" t="s">
        <v>17</v>
      </c>
      <c r="E203" s="31"/>
      <c r="F203" s="17"/>
      <c r="G203" s="26"/>
      <c r="H203" s="17"/>
      <c r="I203" s="20"/>
      <c r="J203" s="21">
        <f>SUM(J201:J202)</f>
        <v>581</v>
      </c>
    </row>
    <row r="204" spans="1:10">
      <c r="A204" s="17"/>
      <c r="B204" s="26"/>
      <c r="C204" s="22"/>
      <c r="D204" s="18" t="s">
        <v>18</v>
      </c>
      <c r="E204" s="24"/>
      <c r="F204" s="25"/>
      <c r="G204" s="26"/>
      <c r="H204" s="25"/>
      <c r="I204" s="20"/>
      <c r="J204" s="21"/>
    </row>
    <row r="205" spans="1:10" ht="25.5">
      <c r="A205" s="17"/>
      <c r="B205" s="17" t="s">
        <v>108</v>
      </c>
      <c r="C205" s="22">
        <v>4</v>
      </c>
      <c r="D205" s="59" t="s">
        <v>109</v>
      </c>
      <c r="E205" s="26">
        <v>1</v>
      </c>
      <c r="F205" s="17" t="s">
        <v>24</v>
      </c>
      <c r="G205" s="26">
        <v>1</v>
      </c>
      <c r="H205" s="17" t="s">
        <v>29</v>
      </c>
      <c r="I205" s="20">
        <v>189</v>
      </c>
      <c r="J205" s="21">
        <f>SUM(E205*I205/G205)</f>
        <v>189</v>
      </c>
    </row>
    <row r="206" spans="1:10" ht="25.5">
      <c r="A206" s="17"/>
      <c r="B206" s="17" t="s">
        <v>110</v>
      </c>
      <c r="C206" s="22">
        <v>5</v>
      </c>
      <c r="D206" s="59" t="s">
        <v>111</v>
      </c>
      <c r="E206" s="26">
        <v>1</v>
      </c>
      <c r="F206" s="17" t="s">
        <v>24</v>
      </c>
      <c r="G206" s="26">
        <v>1</v>
      </c>
      <c r="H206" s="17" t="s">
        <v>29</v>
      </c>
      <c r="I206" s="60">
        <v>150</v>
      </c>
      <c r="J206" s="21">
        <f>SUM(E206*I206/G206)</f>
        <v>150</v>
      </c>
    </row>
    <row r="207" spans="1:10" ht="38.25">
      <c r="A207" s="17"/>
      <c r="B207" s="26" t="s">
        <v>101</v>
      </c>
      <c r="C207" s="22">
        <v>6</v>
      </c>
      <c r="D207" s="18" t="s">
        <v>112</v>
      </c>
      <c r="E207" s="26">
        <v>2</v>
      </c>
      <c r="F207" s="17" t="s">
        <v>24</v>
      </c>
      <c r="G207" s="26">
        <v>1</v>
      </c>
      <c r="H207" s="17" t="s">
        <v>29</v>
      </c>
      <c r="I207" s="20">
        <v>116</v>
      </c>
      <c r="J207" s="21">
        <f>SUM(E207*I207/G207)</f>
        <v>232</v>
      </c>
    </row>
    <row r="208" spans="1:10" ht="38.25">
      <c r="A208" s="17"/>
      <c r="B208" s="26" t="s">
        <v>103</v>
      </c>
      <c r="C208" s="22">
        <v>7</v>
      </c>
      <c r="D208" s="18" t="s">
        <v>113</v>
      </c>
      <c r="E208" s="26">
        <v>2</v>
      </c>
      <c r="F208" s="17" t="s">
        <v>24</v>
      </c>
      <c r="G208" s="26">
        <v>1</v>
      </c>
      <c r="H208" s="17" t="s">
        <v>29</v>
      </c>
      <c r="I208" s="20">
        <v>189</v>
      </c>
      <c r="J208" s="21">
        <f>SUM(E208*I208/G208)</f>
        <v>378</v>
      </c>
    </row>
    <row r="209" spans="1:10">
      <c r="A209" s="17"/>
      <c r="B209" s="26"/>
      <c r="C209" s="22"/>
      <c r="D209" s="57" t="s">
        <v>95</v>
      </c>
      <c r="E209" s="26"/>
      <c r="F209" s="17"/>
      <c r="G209" s="26"/>
      <c r="H209" s="17"/>
      <c r="I209" s="20"/>
      <c r="J209" s="21">
        <f>SUM(J205:J208)</f>
        <v>949</v>
      </c>
    </row>
    <row r="210" spans="1:10">
      <c r="A210" s="17"/>
      <c r="B210" s="26"/>
      <c r="C210" s="22"/>
      <c r="D210" s="57" t="s">
        <v>96</v>
      </c>
      <c r="E210" s="24"/>
      <c r="F210" s="17"/>
      <c r="G210" s="26"/>
      <c r="H210" s="17"/>
      <c r="I210" s="20"/>
      <c r="J210" s="21">
        <f>J209+J203</f>
        <v>1530</v>
      </c>
    </row>
    <row r="211" spans="1:10">
      <c r="A211" s="17"/>
      <c r="B211" s="29"/>
      <c r="C211" s="30"/>
      <c r="D211" s="18" t="s">
        <v>36</v>
      </c>
      <c r="E211" s="24"/>
      <c r="F211" s="25"/>
      <c r="G211" s="26"/>
      <c r="H211" s="25"/>
      <c r="I211" s="20"/>
      <c r="J211" s="36">
        <f>(J210)*0.10615</f>
        <v>162.40949999999998</v>
      </c>
    </row>
    <row r="212" spans="1:10">
      <c r="A212" s="17"/>
      <c r="B212" s="29"/>
      <c r="C212" s="30"/>
      <c r="D212" s="18" t="s">
        <v>37</v>
      </c>
      <c r="E212" s="24"/>
      <c r="F212" s="25"/>
      <c r="G212" s="26"/>
      <c r="H212" s="25"/>
      <c r="I212" s="20"/>
      <c r="J212" s="36">
        <f>SUM(J210:J211)</f>
        <v>1692.4095</v>
      </c>
    </row>
    <row r="213" spans="1:10">
      <c r="A213" s="17"/>
      <c r="B213" s="29"/>
      <c r="C213" s="30"/>
      <c r="D213" s="18" t="s">
        <v>38</v>
      </c>
      <c r="E213" s="24"/>
      <c r="F213" s="25"/>
      <c r="G213" s="26"/>
      <c r="H213" s="25"/>
      <c r="I213" s="20"/>
      <c r="J213" s="37">
        <f>ROUND(J212,0)</f>
        <v>1692</v>
      </c>
    </row>
    <row r="214" spans="1:10">
      <c r="A214" s="38"/>
      <c r="B214" s="39"/>
      <c r="C214" s="40"/>
      <c r="D214" s="4" t="s">
        <v>114</v>
      </c>
      <c r="E214" s="41"/>
      <c r="F214" s="41"/>
      <c r="G214" s="41"/>
      <c r="H214" s="41"/>
      <c r="I214" s="41"/>
      <c r="J214" s="42"/>
    </row>
    <row r="215" spans="1:10">
      <c r="A215" s="17"/>
      <c r="B215" s="17"/>
      <c r="C215" s="31"/>
      <c r="D215" s="10" t="s">
        <v>1</v>
      </c>
      <c r="E215" s="34"/>
      <c r="F215" s="34"/>
      <c r="G215" s="34"/>
      <c r="H215" s="34"/>
      <c r="I215" s="34"/>
      <c r="J215" s="34"/>
    </row>
    <row r="216" spans="1:10" ht="89.25">
      <c r="A216" s="17"/>
      <c r="B216" s="26" t="s">
        <v>115</v>
      </c>
      <c r="C216" s="22"/>
      <c r="D216" s="13" t="s">
        <v>116</v>
      </c>
      <c r="E216" s="13"/>
      <c r="F216" s="13"/>
      <c r="G216" s="13"/>
      <c r="H216" s="13"/>
      <c r="I216" s="13"/>
      <c r="J216" s="16"/>
    </row>
    <row r="217" spans="1:10">
      <c r="A217" s="17"/>
      <c r="B217" s="26"/>
      <c r="C217" s="22"/>
      <c r="D217" s="18" t="s">
        <v>4</v>
      </c>
      <c r="E217" s="24"/>
      <c r="F217" s="17"/>
      <c r="G217" s="26"/>
      <c r="H217" s="17"/>
      <c r="I217" s="20"/>
      <c r="J217" s="21"/>
    </row>
    <row r="218" spans="1:10">
      <c r="A218" s="17"/>
      <c r="B218" s="26"/>
      <c r="C218" s="22">
        <v>1</v>
      </c>
      <c r="D218" s="23" t="s">
        <v>9</v>
      </c>
      <c r="E218" s="58">
        <f>0.067*2</f>
        <v>0.13400000000000001</v>
      </c>
      <c r="F218" s="25" t="s">
        <v>10</v>
      </c>
      <c r="G218" s="26">
        <v>1</v>
      </c>
      <c r="H218" s="25" t="s">
        <v>10</v>
      </c>
      <c r="I218" s="20">
        <v>775</v>
      </c>
      <c r="J218" s="21">
        <f>SUM(E218*I218/G218)</f>
        <v>103.85000000000001</v>
      </c>
    </row>
    <row r="219" spans="1:10">
      <c r="A219" s="17"/>
      <c r="B219" s="26"/>
      <c r="C219" s="22">
        <v>2</v>
      </c>
      <c r="D219" s="27" t="s">
        <v>12</v>
      </c>
      <c r="E219" s="58">
        <f>0.067*2</f>
        <v>0.13400000000000001</v>
      </c>
      <c r="F219" s="25" t="s">
        <v>10</v>
      </c>
      <c r="G219" s="26">
        <v>1</v>
      </c>
      <c r="H219" s="25" t="s">
        <v>10</v>
      </c>
      <c r="I219" s="20">
        <v>650</v>
      </c>
      <c r="J219" s="21">
        <f>SUM(E219*I219/G219)</f>
        <v>87.100000000000009</v>
      </c>
    </row>
    <row r="220" spans="1:10">
      <c r="A220" s="17"/>
      <c r="B220" s="26"/>
      <c r="C220" s="22"/>
      <c r="D220" s="18" t="s">
        <v>90</v>
      </c>
      <c r="E220" s="24"/>
      <c r="F220" s="25"/>
      <c r="G220" s="26"/>
      <c r="H220" s="25"/>
      <c r="I220" s="20"/>
      <c r="J220" s="21">
        <f>SUM(J218:J219)</f>
        <v>190.95000000000002</v>
      </c>
    </row>
    <row r="221" spans="1:10">
      <c r="A221" s="17"/>
      <c r="B221" s="26"/>
      <c r="C221" s="22"/>
      <c r="D221" s="13" t="s">
        <v>61</v>
      </c>
      <c r="E221" s="31"/>
      <c r="F221" s="17"/>
      <c r="G221" s="26"/>
      <c r="H221" s="17"/>
      <c r="I221" s="20"/>
      <c r="J221" s="21">
        <f>J220*0.4</f>
        <v>76.38000000000001</v>
      </c>
    </row>
    <row r="222" spans="1:10">
      <c r="A222" s="17"/>
      <c r="B222" s="26"/>
      <c r="C222" s="22"/>
      <c r="D222" s="13" t="s">
        <v>17</v>
      </c>
      <c r="E222" s="31"/>
      <c r="F222" s="17"/>
      <c r="G222" s="26"/>
      <c r="H222" s="17"/>
      <c r="I222" s="20"/>
      <c r="J222" s="21">
        <f>SUM(J220:J221)</f>
        <v>267.33000000000004</v>
      </c>
    </row>
    <row r="223" spans="1:10">
      <c r="A223" s="17"/>
      <c r="B223" s="26"/>
      <c r="C223" s="22"/>
      <c r="D223" s="18" t="s">
        <v>18</v>
      </c>
      <c r="E223" s="24"/>
      <c r="F223" s="25"/>
      <c r="G223" s="26"/>
      <c r="H223" s="25"/>
      <c r="I223" s="20"/>
      <c r="J223" s="21"/>
    </row>
    <row r="224" spans="1:10" ht="25.5">
      <c r="A224" s="17"/>
      <c r="B224" s="17" t="s">
        <v>108</v>
      </c>
      <c r="C224" s="22">
        <v>3</v>
      </c>
      <c r="D224" s="59" t="s">
        <v>109</v>
      </c>
      <c r="E224" s="26">
        <v>1</v>
      </c>
      <c r="F224" s="17" t="s">
        <v>24</v>
      </c>
      <c r="G224" s="26">
        <v>1</v>
      </c>
      <c r="H224" s="17" t="s">
        <v>29</v>
      </c>
      <c r="I224" s="20">
        <v>189</v>
      </c>
      <c r="J224" s="21">
        <f>SUM(E224*I224/G224)</f>
        <v>189</v>
      </c>
    </row>
    <row r="225" spans="1:10" ht="25.5">
      <c r="A225" s="17"/>
      <c r="B225" s="17" t="s">
        <v>110</v>
      </c>
      <c r="C225" s="22">
        <v>4</v>
      </c>
      <c r="D225" s="59" t="s">
        <v>111</v>
      </c>
      <c r="E225" s="26">
        <v>1</v>
      </c>
      <c r="F225" s="17" t="s">
        <v>24</v>
      </c>
      <c r="G225" s="26">
        <v>1</v>
      </c>
      <c r="H225" s="17" t="s">
        <v>29</v>
      </c>
      <c r="I225" s="60">
        <v>150</v>
      </c>
      <c r="J225" s="21">
        <f>SUM(E225*I225/G225)</f>
        <v>150</v>
      </c>
    </row>
    <row r="226" spans="1:10" ht="38.25">
      <c r="A226" s="17"/>
      <c r="B226" s="17" t="s">
        <v>75</v>
      </c>
      <c r="C226" s="31">
        <v>5</v>
      </c>
      <c r="D226" s="57" t="s">
        <v>117</v>
      </c>
      <c r="E226" s="26">
        <v>2</v>
      </c>
      <c r="F226" s="17" t="s">
        <v>24</v>
      </c>
      <c r="G226" s="26">
        <v>1</v>
      </c>
      <c r="H226" s="17" t="s">
        <v>29</v>
      </c>
      <c r="I226" s="47">
        <v>89</v>
      </c>
      <c r="J226" s="21">
        <f>SUM(E226*I226/G226)</f>
        <v>178</v>
      </c>
    </row>
    <row r="227" spans="1:10" ht="38.25">
      <c r="A227" s="17"/>
      <c r="B227" s="17" t="s">
        <v>93</v>
      </c>
      <c r="C227" s="22">
        <v>6</v>
      </c>
      <c r="D227" s="18" t="s">
        <v>118</v>
      </c>
      <c r="E227" s="26">
        <v>2</v>
      </c>
      <c r="F227" s="17" t="s">
        <v>24</v>
      </c>
      <c r="G227" s="26">
        <v>1</v>
      </c>
      <c r="H227" s="17" t="s">
        <v>29</v>
      </c>
      <c r="I227" s="20">
        <v>131</v>
      </c>
      <c r="J227" s="21">
        <f>SUM(E227*I227/G227)</f>
        <v>262</v>
      </c>
    </row>
    <row r="228" spans="1:10">
      <c r="A228" s="17"/>
      <c r="B228" s="26"/>
      <c r="C228" s="22"/>
      <c r="D228" s="57" t="s">
        <v>95</v>
      </c>
      <c r="E228" s="26"/>
      <c r="F228" s="17"/>
      <c r="G228" s="26"/>
      <c r="H228" s="17"/>
      <c r="I228" s="20"/>
      <c r="J228" s="21">
        <f>SUM(J224:J227)</f>
        <v>779</v>
      </c>
    </row>
    <row r="229" spans="1:10">
      <c r="A229" s="17"/>
      <c r="B229" s="26"/>
      <c r="C229" s="22"/>
      <c r="D229" s="57" t="s">
        <v>96</v>
      </c>
      <c r="E229" s="24"/>
      <c r="F229" s="17"/>
      <c r="G229" s="26"/>
      <c r="H229" s="17"/>
      <c r="I229" s="20"/>
      <c r="J229" s="21">
        <f>J228+J222</f>
        <v>1046.33</v>
      </c>
    </row>
    <row r="230" spans="1:10">
      <c r="A230" s="17"/>
      <c r="B230" s="29"/>
      <c r="C230" s="30"/>
      <c r="D230" s="18" t="s">
        <v>36</v>
      </c>
      <c r="E230" s="24"/>
      <c r="F230" s="25"/>
      <c r="G230" s="26"/>
      <c r="H230" s="25"/>
      <c r="I230" s="20"/>
      <c r="J230" s="36">
        <f>(J229)*0.10615</f>
        <v>111.06792949999999</v>
      </c>
    </row>
    <row r="231" spans="1:10">
      <c r="A231" s="17"/>
      <c r="B231" s="29"/>
      <c r="C231" s="30"/>
      <c r="D231" s="18" t="s">
        <v>37</v>
      </c>
      <c r="E231" s="24"/>
      <c r="F231" s="25"/>
      <c r="G231" s="26"/>
      <c r="H231" s="25"/>
      <c r="I231" s="20"/>
      <c r="J231" s="36">
        <f>SUM(J229:J230)</f>
        <v>1157.3979294999999</v>
      </c>
    </row>
    <row r="232" spans="1:10">
      <c r="A232" s="17"/>
      <c r="B232" s="29"/>
      <c r="C232" s="30"/>
      <c r="D232" s="18" t="s">
        <v>38</v>
      </c>
      <c r="E232" s="24"/>
      <c r="F232" s="25"/>
      <c r="G232" s="26"/>
      <c r="H232" s="25"/>
      <c r="I232" s="20"/>
      <c r="J232" s="37">
        <f>ROUND(J231,0)</f>
        <v>1157</v>
      </c>
    </row>
    <row r="233" spans="1:10">
      <c r="A233" s="38"/>
      <c r="B233" s="39"/>
      <c r="C233" s="40"/>
      <c r="D233" s="4" t="s">
        <v>119</v>
      </c>
      <c r="E233" s="41"/>
      <c r="F233" s="41"/>
      <c r="G233" s="41"/>
      <c r="H233" s="41"/>
      <c r="I233" s="41"/>
      <c r="J233" s="42"/>
    </row>
    <row r="234" spans="1:10">
      <c r="A234" s="17"/>
      <c r="B234" s="26"/>
      <c r="C234" s="22"/>
      <c r="D234" s="10" t="s">
        <v>1</v>
      </c>
      <c r="E234" s="24"/>
      <c r="F234" s="17"/>
      <c r="G234" s="26"/>
      <c r="H234" s="17"/>
      <c r="I234" s="20"/>
      <c r="J234" s="21"/>
    </row>
    <row r="235" spans="1:10" ht="89.25">
      <c r="A235" s="17"/>
      <c r="B235" s="26" t="s">
        <v>120</v>
      </c>
      <c r="C235" s="22"/>
      <c r="D235" s="13" t="s">
        <v>121</v>
      </c>
      <c r="E235" s="13"/>
      <c r="F235" s="13"/>
      <c r="G235" s="13"/>
      <c r="H235" s="13"/>
      <c r="I235" s="13"/>
      <c r="J235" s="16"/>
    </row>
    <row r="236" spans="1:10">
      <c r="A236" s="17"/>
      <c r="B236" s="26"/>
      <c r="C236" s="22"/>
      <c r="D236" s="18" t="s">
        <v>4</v>
      </c>
      <c r="E236" s="24"/>
      <c r="F236" s="17"/>
      <c r="G236" s="26"/>
      <c r="H236" s="17"/>
      <c r="I236" s="20"/>
      <c r="J236" s="21"/>
    </row>
    <row r="237" spans="1:10">
      <c r="A237" s="17"/>
      <c r="B237" s="26"/>
      <c r="C237" s="22">
        <v>1</v>
      </c>
      <c r="D237" s="23" t="s">
        <v>9</v>
      </c>
      <c r="E237" s="24">
        <v>0.2</v>
      </c>
      <c r="F237" s="25" t="s">
        <v>10</v>
      </c>
      <c r="G237" s="26">
        <v>1</v>
      </c>
      <c r="H237" s="25" t="s">
        <v>10</v>
      </c>
      <c r="I237" s="20">
        <v>775</v>
      </c>
      <c r="J237" s="21">
        <f>SUM(E237*I237/G237)</f>
        <v>155</v>
      </c>
    </row>
    <row r="238" spans="1:10">
      <c r="A238" s="17"/>
      <c r="B238" s="26"/>
      <c r="C238" s="22">
        <v>2</v>
      </c>
      <c r="D238" s="27" t="s">
        <v>12</v>
      </c>
      <c r="E238" s="24">
        <v>0.2</v>
      </c>
      <c r="F238" s="25" t="s">
        <v>10</v>
      </c>
      <c r="G238" s="26">
        <v>1</v>
      </c>
      <c r="H238" s="25" t="s">
        <v>10</v>
      </c>
      <c r="I238" s="20">
        <v>650</v>
      </c>
      <c r="J238" s="21">
        <f>SUM(E238*I238/G238)</f>
        <v>130</v>
      </c>
    </row>
    <row r="239" spans="1:10">
      <c r="A239" s="17"/>
      <c r="B239" s="26"/>
      <c r="C239" s="22"/>
      <c r="D239" s="18" t="s">
        <v>100</v>
      </c>
      <c r="E239" s="24"/>
      <c r="F239" s="25"/>
      <c r="G239" s="26"/>
      <c r="H239" s="25"/>
      <c r="I239" s="20"/>
      <c r="J239" s="21">
        <f>SUM(J237:J238)</f>
        <v>285</v>
      </c>
    </row>
    <row r="240" spans="1:10">
      <c r="A240" s="17"/>
      <c r="B240" s="26"/>
      <c r="C240" s="22"/>
      <c r="D240" s="13" t="s">
        <v>61</v>
      </c>
      <c r="E240" s="31"/>
      <c r="F240" s="17"/>
      <c r="G240" s="26"/>
      <c r="H240" s="17"/>
      <c r="I240" s="20"/>
      <c r="J240" s="21">
        <f>J239*0.4</f>
        <v>114</v>
      </c>
    </row>
    <row r="241" spans="1:10">
      <c r="A241" s="17"/>
      <c r="B241" s="26"/>
      <c r="C241" s="22"/>
      <c r="D241" s="13" t="s">
        <v>17</v>
      </c>
      <c r="E241" s="31"/>
      <c r="F241" s="17"/>
      <c r="G241" s="26"/>
      <c r="H241" s="17"/>
      <c r="I241" s="20"/>
      <c r="J241" s="21">
        <f>SUM(J239:J240)</f>
        <v>399</v>
      </c>
    </row>
    <row r="242" spans="1:10">
      <c r="A242" s="17"/>
      <c r="B242" s="26"/>
      <c r="C242" s="22"/>
      <c r="D242" s="18" t="s">
        <v>18</v>
      </c>
      <c r="E242" s="24"/>
      <c r="F242" s="25"/>
      <c r="G242" s="26"/>
      <c r="H242" s="25"/>
      <c r="I242" s="20"/>
      <c r="J242" s="21"/>
    </row>
    <row r="243" spans="1:10" ht="25.5">
      <c r="A243" s="17"/>
      <c r="B243" s="17" t="s">
        <v>122</v>
      </c>
      <c r="C243" s="22">
        <v>3</v>
      </c>
      <c r="D243" s="18" t="s">
        <v>123</v>
      </c>
      <c r="E243" s="26">
        <v>1</v>
      </c>
      <c r="F243" s="17" t="s">
        <v>24</v>
      </c>
      <c r="G243" s="26">
        <v>1</v>
      </c>
      <c r="H243" s="17" t="s">
        <v>29</v>
      </c>
      <c r="I243" s="20">
        <v>247</v>
      </c>
      <c r="J243" s="21">
        <f>SUM(E243*I243/G243)</f>
        <v>247</v>
      </c>
    </row>
    <row r="244" spans="1:10" ht="25.5">
      <c r="A244" s="17"/>
      <c r="B244" s="17" t="s">
        <v>124</v>
      </c>
      <c r="C244" s="22">
        <v>4</v>
      </c>
      <c r="D244" s="18" t="s">
        <v>125</v>
      </c>
      <c r="E244" s="26">
        <v>1</v>
      </c>
      <c r="F244" s="17" t="s">
        <v>24</v>
      </c>
      <c r="G244" s="26">
        <v>1</v>
      </c>
      <c r="H244" s="17" t="s">
        <v>29</v>
      </c>
      <c r="I244" s="20">
        <v>185</v>
      </c>
      <c r="J244" s="21">
        <f>SUM(E244*I244/G244)</f>
        <v>185</v>
      </c>
    </row>
    <row r="245" spans="1:10" ht="38.25">
      <c r="A245" s="17"/>
      <c r="B245" s="26" t="s">
        <v>75</v>
      </c>
      <c r="C245" s="22">
        <v>5</v>
      </c>
      <c r="D245" s="59" t="s">
        <v>117</v>
      </c>
      <c r="E245" s="26">
        <v>2</v>
      </c>
      <c r="F245" s="17" t="s">
        <v>24</v>
      </c>
      <c r="G245" s="26">
        <v>1</v>
      </c>
      <c r="H245" s="17" t="s">
        <v>29</v>
      </c>
      <c r="I245" s="20">
        <v>89</v>
      </c>
      <c r="J245" s="21">
        <f>SUM(E245*I245/G245)</f>
        <v>178</v>
      </c>
    </row>
    <row r="246" spans="1:10" ht="38.25">
      <c r="A246" s="17"/>
      <c r="B246" s="17" t="s">
        <v>93</v>
      </c>
      <c r="C246" s="22">
        <v>6</v>
      </c>
      <c r="D246" s="18" t="s">
        <v>126</v>
      </c>
      <c r="E246" s="26">
        <v>3</v>
      </c>
      <c r="F246" s="17" t="s">
        <v>24</v>
      </c>
      <c r="G246" s="26">
        <v>1</v>
      </c>
      <c r="H246" s="17" t="s">
        <v>29</v>
      </c>
      <c r="I246" s="20">
        <v>131</v>
      </c>
      <c r="J246" s="21">
        <f>SUM(E246*I246/G246)</f>
        <v>393</v>
      </c>
    </row>
    <row r="247" spans="1:10">
      <c r="A247" s="17"/>
      <c r="B247" s="26"/>
      <c r="C247" s="22"/>
      <c r="D247" s="57" t="s">
        <v>95</v>
      </c>
      <c r="E247" s="26"/>
      <c r="F247" s="17"/>
      <c r="G247" s="26"/>
      <c r="H247" s="17"/>
      <c r="I247" s="20"/>
      <c r="J247" s="21">
        <f>SUM(J243:J246)</f>
        <v>1003</v>
      </c>
    </row>
    <row r="248" spans="1:10">
      <c r="A248" s="17"/>
      <c r="B248" s="26"/>
      <c r="C248" s="22"/>
      <c r="D248" s="57" t="s">
        <v>96</v>
      </c>
      <c r="E248" s="24"/>
      <c r="F248" s="17"/>
      <c r="G248" s="26"/>
      <c r="H248" s="17"/>
      <c r="I248" s="20"/>
      <c r="J248" s="21">
        <f>J247+J241</f>
        <v>1402</v>
      </c>
    </row>
    <row r="249" spans="1:10">
      <c r="A249" s="17"/>
      <c r="B249" s="29"/>
      <c r="C249" s="30"/>
      <c r="D249" s="18" t="s">
        <v>36</v>
      </c>
      <c r="E249" s="24"/>
      <c r="F249" s="25"/>
      <c r="G249" s="26"/>
      <c r="H249" s="25"/>
      <c r="I249" s="20"/>
      <c r="J249" s="36">
        <f>(J248)*0.10615</f>
        <v>148.82229999999998</v>
      </c>
    </row>
    <row r="250" spans="1:10">
      <c r="A250" s="17"/>
      <c r="B250" s="29"/>
      <c r="C250" s="30"/>
      <c r="D250" s="18" t="s">
        <v>37</v>
      </c>
      <c r="E250" s="24"/>
      <c r="F250" s="25"/>
      <c r="G250" s="26"/>
      <c r="H250" s="25"/>
      <c r="I250" s="20"/>
      <c r="J250" s="36">
        <f>SUM(J248:J249)</f>
        <v>1550.8223</v>
      </c>
    </row>
    <row r="251" spans="1:10">
      <c r="A251" s="17"/>
      <c r="B251" s="29"/>
      <c r="C251" s="30"/>
      <c r="D251" s="18" t="s">
        <v>38</v>
      </c>
      <c r="E251" s="24"/>
      <c r="F251" s="25"/>
      <c r="G251" s="26"/>
      <c r="H251" s="25"/>
      <c r="I251" s="20"/>
      <c r="J251" s="37">
        <f>ROUND(J250,0)</f>
        <v>1551</v>
      </c>
    </row>
    <row r="252" spans="1:10">
      <c r="A252" s="38"/>
      <c r="B252" s="39"/>
      <c r="C252" s="40"/>
      <c r="D252" s="4" t="s">
        <v>127</v>
      </c>
      <c r="E252" s="41"/>
      <c r="F252" s="41"/>
      <c r="G252" s="41"/>
      <c r="H252" s="41"/>
      <c r="I252" s="41"/>
      <c r="J252" s="42"/>
    </row>
    <row r="253" spans="1:10">
      <c r="A253" s="17"/>
      <c r="B253" s="26"/>
      <c r="C253" s="22"/>
      <c r="D253" s="10" t="s">
        <v>1</v>
      </c>
      <c r="E253" s="24"/>
      <c r="F253" s="17"/>
      <c r="G253" s="26"/>
      <c r="H253" s="17"/>
      <c r="I253" s="20"/>
      <c r="J253" s="21"/>
    </row>
    <row r="254" spans="1:10" ht="89.25">
      <c r="A254" s="17"/>
      <c r="B254" s="26" t="s">
        <v>128</v>
      </c>
      <c r="C254" s="22"/>
      <c r="D254" s="13" t="s">
        <v>129</v>
      </c>
      <c r="E254" s="13"/>
      <c r="F254" s="13"/>
      <c r="G254" s="13"/>
      <c r="H254" s="13"/>
      <c r="I254" s="13"/>
      <c r="J254" s="16"/>
    </row>
    <row r="255" spans="1:10">
      <c r="A255" s="17"/>
      <c r="B255" s="26"/>
      <c r="C255" s="22"/>
      <c r="D255" s="18" t="s">
        <v>4</v>
      </c>
      <c r="E255" s="24"/>
      <c r="F255" s="17"/>
      <c r="G255" s="26"/>
      <c r="H255" s="17"/>
      <c r="I255" s="20"/>
      <c r="J255" s="21"/>
    </row>
    <row r="256" spans="1:10">
      <c r="A256" s="17"/>
      <c r="B256" s="26"/>
      <c r="C256" s="22">
        <v>1</v>
      </c>
      <c r="D256" s="23" t="s">
        <v>9</v>
      </c>
      <c r="E256" s="24">
        <v>0.25</v>
      </c>
      <c r="F256" s="25" t="s">
        <v>10</v>
      </c>
      <c r="G256" s="26">
        <v>1</v>
      </c>
      <c r="H256" s="25" t="s">
        <v>10</v>
      </c>
      <c r="I256" s="20">
        <v>775</v>
      </c>
      <c r="J256" s="21">
        <f>SUM(E256*I256/G256)</f>
        <v>193.75</v>
      </c>
    </row>
    <row r="257" spans="1:10">
      <c r="A257" s="17"/>
      <c r="B257" s="26"/>
      <c r="C257" s="22">
        <v>2</v>
      </c>
      <c r="D257" s="27" t="s">
        <v>12</v>
      </c>
      <c r="E257" s="24">
        <v>0.25</v>
      </c>
      <c r="F257" s="25" t="s">
        <v>10</v>
      </c>
      <c r="G257" s="26">
        <v>1</v>
      </c>
      <c r="H257" s="25" t="s">
        <v>10</v>
      </c>
      <c r="I257" s="20">
        <v>650</v>
      </c>
      <c r="J257" s="21">
        <f>SUM(E257*I257/G257)</f>
        <v>162.5</v>
      </c>
    </row>
    <row r="258" spans="1:10">
      <c r="A258" s="17"/>
      <c r="B258" s="26"/>
      <c r="C258" s="22"/>
      <c r="D258" s="18" t="s">
        <v>100</v>
      </c>
      <c r="E258" s="24"/>
      <c r="F258" s="25"/>
      <c r="G258" s="26"/>
      <c r="H258" s="25"/>
      <c r="I258" s="20"/>
      <c r="J258" s="21">
        <f>SUM(J256:J257)</f>
        <v>356.25</v>
      </c>
    </row>
    <row r="259" spans="1:10">
      <c r="A259" s="17"/>
      <c r="B259" s="26"/>
      <c r="C259" s="22"/>
      <c r="D259" s="13" t="s">
        <v>61</v>
      </c>
      <c r="E259" s="31"/>
      <c r="F259" s="17"/>
      <c r="G259" s="26"/>
      <c r="H259" s="17"/>
      <c r="I259" s="20"/>
      <c r="J259" s="21">
        <f>J258*0.4</f>
        <v>142.5</v>
      </c>
    </row>
    <row r="260" spans="1:10">
      <c r="A260" s="17"/>
      <c r="B260" s="26"/>
      <c r="C260" s="22"/>
      <c r="D260" s="13" t="s">
        <v>17</v>
      </c>
      <c r="E260" s="31"/>
      <c r="F260" s="17"/>
      <c r="G260" s="26"/>
      <c r="H260" s="17"/>
      <c r="I260" s="20"/>
      <c r="J260" s="21">
        <f>SUM(J258:J259)</f>
        <v>498.75</v>
      </c>
    </row>
    <row r="261" spans="1:10">
      <c r="A261" s="17"/>
      <c r="B261" s="26"/>
      <c r="C261" s="22"/>
      <c r="D261" s="18" t="s">
        <v>18</v>
      </c>
      <c r="E261" s="24"/>
      <c r="F261" s="25"/>
      <c r="G261" s="26"/>
      <c r="H261" s="25"/>
      <c r="I261" s="20"/>
      <c r="J261" s="21"/>
    </row>
    <row r="262" spans="1:10" ht="25.5">
      <c r="A262" s="17"/>
      <c r="B262" s="17" t="s">
        <v>130</v>
      </c>
      <c r="C262" s="22">
        <v>3</v>
      </c>
      <c r="D262" s="18" t="s">
        <v>131</v>
      </c>
      <c r="E262" s="26">
        <v>1</v>
      </c>
      <c r="F262" s="17" t="s">
        <v>24</v>
      </c>
      <c r="G262" s="26">
        <v>1</v>
      </c>
      <c r="H262" s="17" t="s">
        <v>29</v>
      </c>
      <c r="I262" s="20">
        <v>299</v>
      </c>
      <c r="J262" s="21">
        <f>SUM(E262*I262/G262)</f>
        <v>299</v>
      </c>
    </row>
    <row r="263" spans="1:10" ht="25.5">
      <c r="A263" s="17"/>
      <c r="B263" s="17" t="s">
        <v>132</v>
      </c>
      <c r="C263" s="22">
        <v>4</v>
      </c>
      <c r="D263" s="18" t="s">
        <v>133</v>
      </c>
      <c r="E263" s="26">
        <v>1</v>
      </c>
      <c r="F263" s="17" t="s">
        <v>24</v>
      </c>
      <c r="G263" s="26">
        <v>1</v>
      </c>
      <c r="H263" s="17" t="s">
        <v>29</v>
      </c>
      <c r="I263" s="20">
        <v>230</v>
      </c>
      <c r="J263" s="21">
        <f>SUM(E263*I263/G263)</f>
        <v>230</v>
      </c>
    </row>
    <row r="264" spans="1:10" ht="38.25">
      <c r="A264" s="17"/>
      <c r="B264" s="26" t="s">
        <v>75</v>
      </c>
      <c r="C264" s="22">
        <v>5</v>
      </c>
      <c r="D264" s="59" t="s">
        <v>134</v>
      </c>
      <c r="E264" s="26">
        <v>4</v>
      </c>
      <c r="F264" s="17" t="s">
        <v>24</v>
      </c>
      <c r="G264" s="26">
        <v>1</v>
      </c>
      <c r="H264" s="17" t="s">
        <v>29</v>
      </c>
      <c r="I264" s="20">
        <v>89</v>
      </c>
      <c r="J264" s="21">
        <f>SUM(E264*I264/G264)</f>
        <v>356</v>
      </c>
    </row>
    <row r="265" spans="1:10" ht="38.25">
      <c r="A265" s="17"/>
      <c r="B265" s="17" t="s">
        <v>93</v>
      </c>
      <c r="C265" s="22">
        <v>6</v>
      </c>
      <c r="D265" s="18" t="s">
        <v>126</v>
      </c>
      <c r="E265" s="26">
        <v>4</v>
      </c>
      <c r="F265" s="17" t="s">
        <v>24</v>
      </c>
      <c r="G265" s="26">
        <v>1</v>
      </c>
      <c r="H265" s="17" t="s">
        <v>29</v>
      </c>
      <c r="I265" s="20">
        <v>131</v>
      </c>
      <c r="J265" s="21">
        <f>SUM(E265*I265/G265)</f>
        <v>524</v>
      </c>
    </row>
    <row r="266" spans="1:10">
      <c r="A266" s="17"/>
      <c r="B266" s="26"/>
      <c r="C266" s="22"/>
      <c r="D266" s="57" t="s">
        <v>95</v>
      </c>
      <c r="E266" s="26"/>
      <c r="F266" s="17"/>
      <c r="G266" s="26"/>
      <c r="H266" s="17"/>
      <c r="I266" s="20"/>
      <c r="J266" s="21">
        <f>SUM(J262:J265)</f>
        <v>1409</v>
      </c>
    </row>
    <row r="267" spans="1:10">
      <c r="A267" s="17"/>
      <c r="B267" s="26"/>
      <c r="C267" s="22"/>
      <c r="D267" s="57" t="s">
        <v>96</v>
      </c>
      <c r="E267" s="24"/>
      <c r="F267" s="17"/>
      <c r="G267" s="26"/>
      <c r="H267" s="17"/>
      <c r="I267" s="20"/>
      <c r="J267" s="21">
        <f>J266+J260</f>
        <v>1907.75</v>
      </c>
    </row>
    <row r="268" spans="1:10">
      <c r="A268" s="17"/>
      <c r="B268" s="29"/>
      <c r="C268" s="30"/>
      <c r="D268" s="18" t="s">
        <v>36</v>
      </c>
      <c r="E268" s="24"/>
      <c r="F268" s="25"/>
      <c r="G268" s="26"/>
      <c r="H268" s="25"/>
      <c r="I268" s="20"/>
      <c r="J268" s="36">
        <f>(J267)*0.10615</f>
        <v>202.50766249999998</v>
      </c>
    </row>
    <row r="269" spans="1:10">
      <c r="A269" s="17"/>
      <c r="B269" s="29"/>
      <c r="C269" s="30"/>
      <c r="D269" s="18" t="s">
        <v>37</v>
      </c>
      <c r="E269" s="24"/>
      <c r="F269" s="25"/>
      <c r="G269" s="26"/>
      <c r="H269" s="25"/>
      <c r="I269" s="20"/>
      <c r="J269" s="36">
        <f>SUM(J267:J268)</f>
        <v>2110.2576625000002</v>
      </c>
    </row>
    <row r="270" spans="1:10">
      <c r="A270" s="17"/>
      <c r="B270" s="29"/>
      <c r="C270" s="30"/>
      <c r="D270" s="18" t="s">
        <v>38</v>
      </c>
      <c r="E270" s="24"/>
      <c r="F270" s="25"/>
      <c r="G270" s="26"/>
      <c r="H270" s="25"/>
      <c r="I270" s="20"/>
      <c r="J270" s="37">
        <f>ROUND(J269,0)</f>
        <v>2110</v>
      </c>
    </row>
    <row r="271" spans="1:10">
      <c r="A271" s="38"/>
      <c r="B271" s="39"/>
      <c r="C271" s="40"/>
      <c r="D271" s="4" t="s">
        <v>135</v>
      </c>
      <c r="E271" s="41"/>
      <c r="F271" s="41"/>
      <c r="G271" s="41"/>
      <c r="H271" s="41"/>
      <c r="I271" s="41"/>
      <c r="J271" s="42"/>
    </row>
    <row r="272" spans="1:10">
      <c r="A272" s="17"/>
      <c r="B272" s="26"/>
      <c r="C272" s="22"/>
      <c r="D272" s="10" t="s">
        <v>1</v>
      </c>
      <c r="E272" s="31"/>
      <c r="F272" s="31"/>
      <c r="G272" s="31"/>
      <c r="H272" s="31"/>
      <c r="I272" s="31"/>
      <c r="J272" s="21"/>
    </row>
    <row r="273" spans="1:10" ht="51">
      <c r="A273" s="31"/>
      <c r="B273" s="14" t="s">
        <v>136</v>
      </c>
      <c r="C273" s="15"/>
      <c r="D273" s="44" t="s">
        <v>137</v>
      </c>
      <c r="E273" s="44"/>
      <c r="F273" s="44"/>
      <c r="G273" s="44"/>
      <c r="H273" s="44"/>
      <c r="I273" s="44"/>
      <c r="J273" s="16"/>
    </row>
    <row r="274" spans="1:10">
      <c r="A274" s="31"/>
      <c r="B274" s="14"/>
      <c r="C274" s="15"/>
      <c r="D274" s="44" t="s">
        <v>138</v>
      </c>
      <c r="E274" s="44"/>
      <c r="F274" s="44"/>
      <c r="G274" s="44"/>
      <c r="H274" s="44"/>
      <c r="I274" s="44"/>
      <c r="J274" s="16"/>
    </row>
    <row r="275" spans="1:10">
      <c r="A275" s="31"/>
      <c r="B275" s="14"/>
      <c r="C275" s="15"/>
      <c r="D275" s="45" t="s">
        <v>4</v>
      </c>
      <c r="E275" s="43"/>
      <c r="F275" s="29"/>
      <c r="G275" s="49"/>
      <c r="H275" s="29"/>
      <c r="I275" s="47"/>
      <c r="J275" s="21"/>
    </row>
    <row r="276" spans="1:10">
      <c r="A276" s="31"/>
      <c r="B276" s="14"/>
      <c r="C276" s="22">
        <v>1</v>
      </c>
      <c r="D276" s="23" t="s">
        <v>9</v>
      </c>
      <c r="E276" s="61">
        <v>6.2E-2</v>
      </c>
      <c r="F276" s="17" t="s">
        <v>29</v>
      </c>
      <c r="G276" s="26">
        <v>1</v>
      </c>
      <c r="H276" s="17" t="s">
        <v>29</v>
      </c>
      <c r="I276" s="20">
        <v>775</v>
      </c>
      <c r="J276" s="21">
        <f>SUM(E276*I276/G276)</f>
        <v>48.05</v>
      </c>
    </row>
    <row r="277" spans="1:10">
      <c r="A277" s="31"/>
      <c r="B277" s="29"/>
      <c r="C277" s="30">
        <v>2</v>
      </c>
      <c r="D277" s="27" t="s">
        <v>12</v>
      </c>
      <c r="E277" s="61">
        <v>6.2E-2</v>
      </c>
      <c r="F277" s="25" t="s">
        <v>10</v>
      </c>
      <c r="G277" s="26">
        <v>1</v>
      </c>
      <c r="H277" s="25" t="s">
        <v>10</v>
      </c>
      <c r="I277" s="20">
        <v>650</v>
      </c>
      <c r="J277" s="21">
        <f>SUM(E277*I277/G277)</f>
        <v>40.299999999999997</v>
      </c>
    </row>
    <row r="278" spans="1:10">
      <c r="A278" s="31"/>
      <c r="B278" s="29"/>
      <c r="C278" s="30"/>
      <c r="D278" s="45" t="s">
        <v>100</v>
      </c>
      <c r="E278" s="43"/>
      <c r="F278" s="48"/>
      <c r="G278" s="49"/>
      <c r="H278" s="48"/>
      <c r="I278" s="47"/>
      <c r="J278" s="21">
        <f>SUM(J276:J277)</f>
        <v>88.35</v>
      </c>
    </row>
    <row r="279" spans="1:10">
      <c r="A279" s="17"/>
      <c r="B279" s="29"/>
      <c r="C279" s="30"/>
      <c r="D279" s="44" t="s">
        <v>43</v>
      </c>
      <c r="E279" s="50"/>
      <c r="F279" s="29"/>
      <c r="G279" s="49"/>
      <c r="H279" s="29"/>
      <c r="I279" s="47"/>
      <c r="J279" s="21">
        <f>J278*0.4</f>
        <v>35.339999999999996</v>
      </c>
    </row>
    <row r="280" spans="1:10">
      <c r="A280" s="17"/>
      <c r="B280" s="29"/>
      <c r="C280" s="30"/>
      <c r="D280" s="44" t="s">
        <v>44</v>
      </c>
      <c r="E280" s="50"/>
      <c r="F280" s="29"/>
      <c r="G280" s="49"/>
      <c r="H280" s="29"/>
      <c r="I280" s="47"/>
      <c r="J280" s="21">
        <f>SUM(J278:J279)</f>
        <v>123.69</v>
      </c>
    </row>
    <row r="281" spans="1:10">
      <c r="A281" s="31"/>
      <c r="B281" s="29"/>
      <c r="C281" s="30"/>
      <c r="D281" s="45" t="s">
        <v>18</v>
      </c>
      <c r="E281" s="43"/>
      <c r="F281" s="48"/>
      <c r="G281" s="49"/>
      <c r="H281" s="48"/>
      <c r="I281" s="47"/>
      <c r="J281" s="21"/>
    </row>
    <row r="282" spans="1:10" ht="25.5">
      <c r="A282" s="31"/>
      <c r="B282" s="29" t="s">
        <v>139</v>
      </c>
      <c r="C282" s="30">
        <v>3</v>
      </c>
      <c r="D282" s="44" t="s">
        <v>140</v>
      </c>
      <c r="E282" s="30">
        <v>1</v>
      </c>
      <c r="F282" s="30" t="s">
        <v>24</v>
      </c>
      <c r="G282" s="30">
        <v>1</v>
      </c>
      <c r="H282" s="30" t="s">
        <v>29</v>
      </c>
      <c r="I282" s="47">
        <v>125</v>
      </c>
      <c r="J282" s="21">
        <f>SUM(E282*I282/G282)</f>
        <v>125</v>
      </c>
    </row>
    <row r="283" spans="1:10">
      <c r="A283" s="31"/>
      <c r="B283" s="17"/>
      <c r="C283" s="31"/>
      <c r="D283" s="45" t="s">
        <v>141</v>
      </c>
      <c r="E283" s="43"/>
      <c r="F283" s="48"/>
      <c r="G283" s="49"/>
      <c r="H283" s="48"/>
      <c r="I283" s="47"/>
      <c r="J283" s="21">
        <f>SUM(J282:J282)</f>
        <v>125</v>
      </c>
    </row>
    <row r="284" spans="1:10">
      <c r="A284" s="31"/>
      <c r="B284" s="17"/>
      <c r="C284" s="31"/>
      <c r="D284" s="45" t="s">
        <v>35</v>
      </c>
      <c r="E284" s="43"/>
      <c r="F284" s="48"/>
      <c r="G284" s="49"/>
      <c r="H284" s="48"/>
      <c r="I284" s="62"/>
      <c r="J284" s="21">
        <f>J283+J280</f>
        <v>248.69</v>
      </c>
    </row>
    <row r="285" spans="1:10">
      <c r="A285" s="17"/>
      <c r="B285" s="29"/>
      <c r="C285" s="30"/>
      <c r="D285" s="18" t="s">
        <v>36</v>
      </c>
      <c r="E285" s="24"/>
      <c r="F285" s="25"/>
      <c r="G285" s="26"/>
      <c r="H285" s="25"/>
      <c r="I285" s="20"/>
      <c r="J285" s="36">
        <f>(J284)*0.10615</f>
        <v>26.398443499999999</v>
      </c>
    </row>
    <row r="286" spans="1:10">
      <c r="A286" s="17"/>
      <c r="B286" s="29"/>
      <c r="C286" s="30"/>
      <c r="D286" s="18" t="s">
        <v>37</v>
      </c>
      <c r="E286" s="24"/>
      <c r="F286" s="25"/>
      <c r="G286" s="26"/>
      <c r="H286" s="25"/>
      <c r="I286" s="20"/>
      <c r="J286" s="36">
        <f>SUM(J284:J285)</f>
        <v>275.08844349999998</v>
      </c>
    </row>
    <row r="287" spans="1:10">
      <c r="A287" s="17"/>
      <c r="B287" s="29"/>
      <c r="C287" s="30"/>
      <c r="D287" s="18" t="s">
        <v>38</v>
      </c>
      <c r="E287" s="24"/>
      <c r="F287" s="25"/>
      <c r="G287" s="26"/>
      <c r="H287" s="25"/>
      <c r="I287" s="20"/>
      <c r="J287" s="37">
        <f>ROUND(J286,0)</f>
        <v>275</v>
      </c>
    </row>
    <row r="288" spans="1:10">
      <c r="A288" s="38"/>
      <c r="B288" s="39"/>
      <c r="C288" s="40"/>
      <c r="D288" s="4" t="s">
        <v>142</v>
      </c>
      <c r="E288" s="41"/>
      <c r="F288" s="41"/>
      <c r="G288" s="41"/>
      <c r="H288" s="41"/>
      <c r="I288" s="41"/>
      <c r="J288" s="42"/>
    </row>
    <row r="289" spans="1:10">
      <c r="A289" s="17"/>
      <c r="B289" s="63"/>
      <c r="C289" s="64"/>
      <c r="D289" s="10" t="s">
        <v>1</v>
      </c>
      <c r="E289" s="17"/>
      <c r="F289" s="17"/>
      <c r="G289" s="17"/>
      <c r="H289" s="17"/>
      <c r="I289" s="20"/>
      <c r="J289" s="63"/>
    </row>
    <row r="290" spans="1:10" ht="127.5">
      <c r="A290" s="17"/>
      <c r="B290" s="26" t="s">
        <v>143</v>
      </c>
      <c r="C290" s="22"/>
      <c r="D290" s="13" t="s">
        <v>144</v>
      </c>
      <c r="E290" s="13"/>
      <c r="F290" s="13"/>
      <c r="G290" s="13"/>
      <c r="H290" s="13"/>
      <c r="I290" s="13"/>
      <c r="J290" s="16"/>
    </row>
    <row r="291" spans="1:10">
      <c r="A291" s="17"/>
      <c r="B291" s="63"/>
      <c r="C291" s="34"/>
      <c r="D291" s="18" t="s">
        <v>145</v>
      </c>
      <c r="E291" s="24"/>
      <c r="F291" s="17"/>
      <c r="G291" s="26"/>
      <c r="H291" s="17"/>
      <c r="I291" s="20"/>
      <c r="J291" s="21"/>
    </row>
    <row r="292" spans="1:10">
      <c r="A292" s="17"/>
      <c r="B292" s="63"/>
      <c r="C292" s="34"/>
      <c r="D292" s="18" t="s">
        <v>100</v>
      </c>
      <c r="E292" s="24"/>
      <c r="F292" s="25"/>
      <c r="G292" s="26"/>
      <c r="H292" s="25"/>
      <c r="I292" s="20"/>
      <c r="J292" s="21">
        <v>30</v>
      </c>
    </row>
    <row r="293" spans="1:10">
      <c r="A293" s="17"/>
      <c r="B293" s="63"/>
      <c r="C293" s="34"/>
      <c r="D293" s="44" t="s">
        <v>43</v>
      </c>
      <c r="E293" s="50"/>
      <c r="F293" s="29"/>
      <c r="G293" s="49"/>
      <c r="H293" s="29"/>
      <c r="I293" s="47"/>
      <c r="J293" s="21">
        <f>J292*0.4</f>
        <v>12</v>
      </c>
    </row>
    <row r="294" spans="1:10">
      <c r="A294" s="17"/>
      <c r="B294" s="63"/>
      <c r="C294" s="34"/>
      <c r="D294" s="13" t="s">
        <v>17</v>
      </c>
      <c r="E294" s="31"/>
      <c r="F294" s="17"/>
      <c r="G294" s="26"/>
      <c r="H294" s="17"/>
      <c r="I294" s="20"/>
      <c r="J294" s="21">
        <f>SUM(J292:J293)</f>
        <v>42</v>
      </c>
    </row>
    <row r="295" spans="1:10">
      <c r="A295" s="17"/>
      <c r="B295" s="63"/>
      <c r="C295" s="34"/>
      <c r="D295" s="18" t="s">
        <v>18</v>
      </c>
      <c r="E295" s="24"/>
      <c r="F295" s="25"/>
      <c r="G295" s="26"/>
      <c r="H295" s="25"/>
      <c r="I295" s="20"/>
      <c r="J295" s="21"/>
    </row>
    <row r="296" spans="1:10">
      <c r="A296" s="17"/>
      <c r="B296" s="17"/>
      <c r="C296" s="31"/>
      <c r="D296" s="18" t="s">
        <v>146</v>
      </c>
      <c r="E296" s="24"/>
      <c r="F296" s="25"/>
      <c r="G296" s="26"/>
      <c r="H296" s="25"/>
      <c r="I296" s="20"/>
      <c r="J296" s="21"/>
    </row>
    <row r="297" spans="1:10" ht="165.75">
      <c r="A297" s="17"/>
      <c r="B297" s="17" t="s">
        <v>147</v>
      </c>
      <c r="C297" s="31">
        <v>7</v>
      </c>
      <c r="D297" s="65" t="s">
        <v>148</v>
      </c>
      <c r="E297" s="26">
        <v>1</v>
      </c>
      <c r="F297" s="17" t="s">
        <v>29</v>
      </c>
      <c r="G297" s="26">
        <v>1</v>
      </c>
      <c r="H297" s="17" t="s">
        <v>29</v>
      </c>
      <c r="I297" s="20">
        <f>553*0.7</f>
        <v>387.09999999999997</v>
      </c>
      <c r="J297" s="21">
        <f>SUM(E297*I297/G297)</f>
        <v>387.09999999999997</v>
      </c>
    </row>
    <row r="298" spans="1:10">
      <c r="A298" s="17"/>
      <c r="B298" s="63"/>
      <c r="C298" s="64"/>
      <c r="D298" s="18" t="s">
        <v>141</v>
      </c>
      <c r="E298" s="24"/>
      <c r="F298" s="17"/>
      <c r="G298" s="26"/>
      <c r="H298" s="17"/>
      <c r="I298" s="20"/>
      <c r="J298" s="21">
        <f>J297</f>
        <v>387.09999999999997</v>
      </c>
    </row>
    <row r="299" spans="1:10">
      <c r="A299" s="17"/>
      <c r="B299" s="63"/>
      <c r="C299" s="64"/>
      <c r="D299" s="18" t="s">
        <v>35</v>
      </c>
      <c r="E299" s="17"/>
      <c r="F299" s="17"/>
      <c r="G299" s="17"/>
      <c r="H299" s="17"/>
      <c r="I299" s="20"/>
      <c r="J299" s="35">
        <f>J298+J294+J296</f>
        <v>429.09999999999997</v>
      </c>
    </row>
    <row r="300" spans="1:10">
      <c r="A300" s="17"/>
      <c r="B300" s="29"/>
      <c r="C300" s="30"/>
      <c r="D300" s="18" t="s">
        <v>36</v>
      </c>
      <c r="E300" s="24"/>
      <c r="F300" s="25"/>
      <c r="G300" s="26"/>
      <c r="H300" s="25"/>
      <c r="I300" s="20"/>
      <c r="J300" s="36">
        <f>(J299)*0.10615</f>
        <v>45.548964999999995</v>
      </c>
    </row>
    <row r="301" spans="1:10">
      <c r="A301" s="17"/>
      <c r="B301" s="29"/>
      <c r="C301" s="30"/>
      <c r="D301" s="18" t="s">
        <v>37</v>
      </c>
      <c r="E301" s="24"/>
      <c r="F301" s="25"/>
      <c r="G301" s="26"/>
      <c r="H301" s="25"/>
      <c r="I301" s="20"/>
      <c r="J301" s="36">
        <f>SUM(J299:J300)</f>
        <v>474.64896499999998</v>
      </c>
    </row>
    <row r="302" spans="1:10">
      <c r="A302" s="17"/>
      <c r="B302" s="29"/>
      <c r="C302" s="30"/>
      <c r="D302" s="18" t="s">
        <v>38</v>
      </c>
      <c r="E302" s="24"/>
      <c r="F302" s="25"/>
      <c r="G302" s="26"/>
      <c r="H302" s="25"/>
      <c r="I302" s="20"/>
      <c r="J302" s="37">
        <f>ROUND(J301,0)</f>
        <v>475</v>
      </c>
    </row>
    <row r="303" spans="1:10">
      <c r="A303" s="38"/>
      <c r="B303" s="39"/>
      <c r="C303" s="40"/>
      <c r="D303" s="4" t="s">
        <v>149</v>
      </c>
      <c r="E303" s="41"/>
      <c r="F303" s="41"/>
      <c r="G303" s="41"/>
      <c r="H303" s="41"/>
      <c r="I303" s="41"/>
      <c r="J303" s="42"/>
    </row>
    <row r="304" spans="1:10">
      <c r="A304" s="31"/>
      <c r="B304" s="26"/>
      <c r="C304" s="22"/>
      <c r="D304" s="10" t="s">
        <v>1</v>
      </c>
      <c r="E304" s="31"/>
      <c r="F304" s="31"/>
      <c r="G304" s="31"/>
      <c r="H304" s="31"/>
      <c r="I304" s="31"/>
      <c r="J304" s="21"/>
    </row>
    <row r="305" spans="1:10" ht="127.5">
      <c r="A305" s="31"/>
      <c r="B305" s="26" t="s">
        <v>150</v>
      </c>
      <c r="C305" s="22"/>
      <c r="D305" s="13" t="s">
        <v>151</v>
      </c>
      <c r="E305" s="13"/>
      <c r="F305" s="13"/>
      <c r="G305" s="13"/>
      <c r="H305" s="13"/>
      <c r="I305" s="13"/>
      <c r="J305" s="16"/>
    </row>
    <row r="306" spans="1:10">
      <c r="A306" s="31"/>
      <c r="B306" s="26"/>
      <c r="C306" s="22"/>
      <c r="D306" s="18" t="s">
        <v>145</v>
      </c>
      <c r="E306" s="24"/>
      <c r="F306" s="17"/>
      <c r="G306" s="26"/>
      <c r="H306" s="17"/>
      <c r="I306" s="20"/>
      <c r="J306" s="21"/>
    </row>
    <row r="307" spans="1:10">
      <c r="A307" s="31"/>
      <c r="B307" s="26"/>
      <c r="C307" s="22"/>
      <c r="D307" s="18" t="s">
        <v>100</v>
      </c>
      <c r="E307" s="24"/>
      <c r="F307" s="25"/>
      <c r="G307" s="26"/>
      <c r="H307" s="25"/>
      <c r="I307" s="20"/>
      <c r="J307" s="21">
        <v>50</v>
      </c>
    </row>
    <row r="308" spans="1:10">
      <c r="A308" s="31"/>
      <c r="B308" s="26"/>
      <c r="C308" s="22"/>
      <c r="D308" s="66" t="s">
        <v>43</v>
      </c>
      <c r="E308" s="31"/>
      <c r="F308" s="17"/>
      <c r="G308" s="26"/>
      <c r="H308" s="17"/>
      <c r="I308" s="20"/>
      <c r="J308" s="21">
        <f>J307*0.4</f>
        <v>20</v>
      </c>
    </row>
    <row r="309" spans="1:10">
      <c r="A309" s="31"/>
      <c r="B309" s="26"/>
      <c r="C309" s="22"/>
      <c r="D309" s="13" t="s">
        <v>17</v>
      </c>
      <c r="E309" s="31"/>
      <c r="F309" s="17"/>
      <c r="G309" s="26"/>
      <c r="H309" s="17"/>
      <c r="I309" s="20"/>
      <c r="J309" s="21">
        <f>SUM(J307:J308)</f>
        <v>70</v>
      </c>
    </row>
    <row r="310" spans="1:10">
      <c r="A310" s="31"/>
      <c r="B310" s="26"/>
      <c r="C310" s="22"/>
      <c r="D310" s="18" t="s">
        <v>18</v>
      </c>
      <c r="E310" s="24"/>
      <c r="F310" s="25"/>
      <c r="G310" s="26"/>
      <c r="H310" s="25"/>
      <c r="I310" s="20"/>
      <c r="J310" s="21"/>
    </row>
    <row r="311" spans="1:10" ht="127.5">
      <c r="A311" s="31"/>
      <c r="B311" s="26" t="s">
        <v>152</v>
      </c>
      <c r="C311" s="22">
        <v>4</v>
      </c>
      <c r="D311" s="27" t="s">
        <v>153</v>
      </c>
      <c r="E311" s="24">
        <v>1</v>
      </c>
      <c r="F311" s="17" t="s">
        <v>154</v>
      </c>
      <c r="G311" s="26">
        <v>1</v>
      </c>
      <c r="H311" s="17" t="s">
        <v>154</v>
      </c>
      <c r="I311" s="20">
        <f>874*0.7</f>
        <v>611.79999999999995</v>
      </c>
      <c r="J311" s="21">
        <f>SUM(E311*I311/G311)</f>
        <v>611.79999999999995</v>
      </c>
    </row>
    <row r="312" spans="1:10">
      <c r="A312" s="31"/>
      <c r="B312" s="26"/>
      <c r="C312" s="22">
        <v>5</v>
      </c>
      <c r="D312" s="18" t="s">
        <v>155</v>
      </c>
      <c r="E312" s="24"/>
      <c r="F312" s="17"/>
      <c r="G312" s="26"/>
      <c r="H312" s="17"/>
      <c r="I312" s="20"/>
      <c r="J312" s="21">
        <v>20</v>
      </c>
    </row>
    <row r="313" spans="1:10">
      <c r="A313" s="31"/>
      <c r="B313" s="26"/>
      <c r="C313" s="22"/>
      <c r="D313" s="18" t="s">
        <v>146</v>
      </c>
      <c r="E313" s="24"/>
      <c r="F313" s="25"/>
      <c r="G313" s="26"/>
      <c r="H313" s="25"/>
      <c r="I313" s="20"/>
      <c r="J313" s="21">
        <f>SUM(J311:J312)</f>
        <v>631.79999999999995</v>
      </c>
    </row>
    <row r="314" spans="1:10">
      <c r="A314" s="31"/>
      <c r="B314" s="26"/>
      <c r="C314" s="22"/>
      <c r="D314" s="18" t="s">
        <v>35</v>
      </c>
      <c r="E314" s="17"/>
      <c r="F314" s="17"/>
      <c r="G314" s="17"/>
      <c r="H314" s="17"/>
      <c r="I314" s="20"/>
      <c r="J314" s="35">
        <f>J313+J309</f>
        <v>701.8</v>
      </c>
    </row>
    <row r="315" spans="1:10">
      <c r="A315" s="17"/>
      <c r="B315" s="29"/>
      <c r="C315" s="30"/>
      <c r="D315" s="18" t="s">
        <v>36</v>
      </c>
      <c r="E315" s="24"/>
      <c r="F315" s="25"/>
      <c r="G315" s="26"/>
      <c r="H315" s="25"/>
      <c r="I315" s="20"/>
      <c r="J315" s="36">
        <f>(J314)*0.10615</f>
        <v>74.496069999999989</v>
      </c>
    </row>
    <row r="316" spans="1:10">
      <c r="A316" s="17"/>
      <c r="B316" s="29"/>
      <c r="C316" s="30"/>
      <c r="D316" s="18" t="s">
        <v>37</v>
      </c>
      <c r="E316" s="24"/>
      <c r="F316" s="25"/>
      <c r="G316" s="26"/>
      <c r="H316" s="25"/>
      <c r="I316" s="20"/>
      <c r="J316" s="36">
        <f>SUM(J314:J315)</f>
        <v>776.29606999999999</v>
      </c>
    </row>
    <row r="317" spans="1:10">
      <c r="A317" s="17"/>
      <c r="B317" s="29"/>
      <c r="C317" s="30"/>
      <c r="D317" s="18" t="s">
        <v>38</v>
      </c>
      <c r="E317" s="24"/>
      <c r="F317" s="25"/>
      <c r="G317" s="26"/>
      <c r="H317" s="25"/>
      <c r="I317" s="20"/>
      <c r="J317" s="37">
        <f>ROUND(J316,0)</f>
        <v>776</v>
      </c>
    </row>
    <row r="318" spans="1:10">
      <c r="A318" s="38"/>
      <c r="B318" s="39"/>
      <c r="C318" s="40"/>
      <c r="D318" s="4" t="s">
        <v>156</v>
      </c>
      <c r="E318" s="41"/>
      <c r="F318" s="41"/>
      <c r="G318" s="41"/>
      <c r="H318" s="41"/>
      <c r="I318" s="41"/>
      <c r="J318" s="42"/>
    </row>
    <row r="319" spans="1:10">
      <c r="A319" s="31"/>
      <c r="B319" s="26"/>
      <c r="C319" s="22"/>
      <c r="D319" s="10" t="s">
        <v>1</v>
      </c>
      <c r="E319" s="31"/>
      <c r="F319" s="31"/>
      <c r="G319" s="31"/>
      <c r="H319" s="31"/>
      <c r="I319" s="31"/>
      <c r="J319" s="21"/>
    </row>
    <row r="320" spans="1:10" ht="153">
      <c r="A320" s="31"/>
      <c r="B320" s="26" t="s">
        <v>150</v>
      </c>
      <c r="C320" s="22"/>
      <c r="D320" s="13" t="s">
        <v>157</v>
      </c>
      <c r="E320" s="13"/>
      <c r="F320" s="13"/>
      <c r="G320" s="13"/>
      <c r="H320" s="13"/>
      <c r="I320" s="13"/>
      <c r="J320" s="16"/>
    </row>
    <row r="321" spans="1:10">
      <c r="A321" s="31"/>
      <c r="B321" s="26"/>
      <c r="C321" s="22"/>
      <c r="D321" s="18" t="s">
        <v>145</v>
      </c>
      <c r="E321" s="24"/>
      <c r="F321" s="17"/>
      <c r="G321" s="26"/>
      <c r="H321" s="17"/>
      <c r="I321" s="20"/>
      <c r="J321" s="21"/>
    </row>
    <row r="322" spans="1:10">
      <c r="A322" s="31"/>
      <c r="B322" s="26"/>
      <c r="C322" s="22"/>
      <c r="D322" s="18" t="s">
        <v>100</v>
      </c>
      <c r="E322" s="24"/>
      <c r="F322" s="25"/>
      <c r="G322" s="26"/>
      <c r="H322" s="25"/>
      <c r="I322" s="20"/>
      <c r="J322" s="21">
        <v>50</v>
      </c>
    </row>
    <row r="323" spans="1:10">
      <c r="A323" s="31"/>
      <c r="B323" s="26"/>
      <c r="C323" s="22"/>
      <c r="D323" s="66" t="s">
        <v>43</v>
      </c>
      <c r="E323" s="31"/>
      <c r="F323" s="17"/>
      <c r="G323" s="26"/>
      <c r="H323" s="17"/>
      <c r="I323" s="20"/>
      <c r="J323" s="21">
        <f>J322*0.4</f>
        <v>20</v>
      </c>
    </row>
    <row r="324" spans="1:10">
      <c r="A324" s="31"/>
      <c r="B324" s="26"/>
      <c r="C324" s="22"/>
      <c r="D324" s="13" t="s">
        <v>17</v>
      </c>
      <c r="E324" s="31"/>
      <c r="F324" s="17"/>
      <c r="G324" s="26"/>
      <c r="H324" s="17"/>
      <c r="I324" s="20"/>
      <c r="J324" s="21">
        <f>SUM(J322:J323)</f>
        <v>70</v>
      </c>
    </row>
    <row r="325" spans="1:10">
      <c r="A325" s="31"/>
      <c r="B325" s="26"/>
      <c r="C325" s="22"/>
      <c r="D325" s="18" t="s">
        <v>18</v>
      </c>
      <c r="E325" s="24"/>
      <c r="F325" s="25"/>
      <c r="G325" s="26"/>
      <c r="H325" s="25"/>
      <c r="I325" s="20"/>
      <c r="J325" s="21"/>
    </row>
    <row r="326" spans="1:10" ht="178.5">
      <c r="A326" s="31"/>
      <c r="B326" s="26" t="s">
        <v>158</v>
      </c>
      <c r="C326" s="22">
        <v>4</v>
      </c>
      <c r="D326" s="27" t="s">
        <v>159</v>
      </c>
      <c r="E326" s="24">
        <v>1</v>
      </c>
      <c r="F326" s="17" t="s">
        <v>154</v>
      </c>
      <c r="G326" s="26">
        <v>1</v>
      </c>
      <c r="H326" s="17" t="s">
        <v>154</v>
      </c>
      <c r="I326" s="20">
        <f>1300*0.7</f>
        <v>909.99999999999989</v>
      </c>
      <c r="J326" s="21">
        <f>SUM(E326*I326/G326)</f>
        <v>909.99999999999989</v>
      </c>
    </row>
    <row r="327" spans="1:10">
      <c r="A327" s="31"/>
      <c r="B327" s="26"/>
      <c r="C327" s="22">
        <v>5</v>
      </c>
      <c r="D327" s="18" t="s">
        <v>155</v>
      </c>
      <c r="E327" s="24"/>
      <c r="F327" s="17"/>
      <c r="G327" s="26"/>
      <c r="H327" s="17"/>
      <c r="I327" s="20"/>
      <c r="J327" s="21">
        <v>20</v>
      </c>
    </row>
    <row r="328" spans="1:10">
      <c r="A328" s="31"/>
      <c r="B328" s="26"/>
      <c r="C328" s="22"/>
      <c r="D328" s="18" t="s">
        <v>146</v>
      </c>
      <c r="E328" s="24"/>
      <c r="F328" s="25"/>
      <c r="G328" s="26"/>
      <c r="H328" s="25"/>
      <c r="I328" s="20"/>
      <c r="J328" s="21">
        <f>SUM(J326:J327)</f>
        <v>929.99999999999989</v>
      </c>
    </row>
    <row r="329" spans="1:10">
      <c r="A329" s="31"/>
      <c r="B329" s="26"/>
      <c r="C329" s="22"/>
      <c r="D329" s="18" t="s">
        <v>35</v>
      </c>
      <c r="E329" s="17"/>
      <c r="F329" s="17"/>
      <c r="G329" s="17"/>
      <c r="H329" s="17"/>
      <c r="I329" s="20"/>
      <c r="J329" s="35">
        <f>J328+J324</f>
        <v>999.99999999999989</v>
      </c>
    </row>
    <row r="330" spans="1:10">
      <c r="A330" s="17"/>
      <c r="B330" s="29"/>
      <c r="C330" s="30"/>
      <c r="D330" s="18" t="s">
        <v>36</v>
      </c>
      <c r="E330" s="24"/>
      <c r="F330" s="25"/>
      <c r="G330" s="26"/>
      <c r="H330" s="25"/>
      <c r="I330" s="20"/>
      <c r="J330" s="36">
        <f>(J329)*0.10615</f>
        <v>106.14999999999998</v>
      </c>
    </row>
    <row r="331" spans="1:10">
      <c r="A331" s="17"/>
      <c r="B331" s="29"/>
      <c r="C331" s="30"/>
      <c r="D331" s="18" t="s">
        <v>37</v>
      </c>
      <c r="E331" s="24"/>
      <c r="F331" s="25"/>
      <c r="G331" s="26"/>
      <c r="H331" s="25"/>
      <c r="I331" s="20"/>
      <c r="J331" s="36">
        <f>SUM(J329:J330)</f>
        <v>1106.1499999999999</v>
      </c>
    </row>
    <row r="332" spans="1:10">
      <c r="A332" s="17"/>
      <c r="B332" s="29"/>
      <c r="C332" s="30"/>
      <c r="D332" s="18" t="s">
        <v>38</v>
      </c>
      <c r="E332" s="24"/>
      <c r="F332" s="25"/>
      <c r="G332" s="26"/>
      <c r="H332" s="25"/>
      <c r="I332" s="20"/>
      <c r="J332" s="37">
        <f>ROUND(J331,0)</f>
        <v>1106</v>
      </c>
    </row>
    <row r="333" spans="1:10">
      <c r="A333" s="38"/>
      <c r="B333" s="39"/>
      <c r="C333" s="40"/>
      <c r="D333" s="4" t="s">
        <v>160</v>
      </c>
      <c r="E333" s="41"/>
      <c r="F333" s="41"/>
      <c r="G333" s="41"/>
      <c r="H333" s="41"/>
      <c r="I333" s="41"/>
      <c r="J333" s="42"/>
    </row>
    <row r="334" spans="1:10">
      <c r="A334" s="31"/>
      <c r="B334" s="26"/>
      <c r="C334" s="22"/>
      <c r="D334" s="10" t="s">
        <v>1</v>
      </c>
      <c r="E334" s="17"/>
      <c r="F334" s="17"/>
      <c r="G334" s="17"/>
      <c r="H334" s="17"/>
      <c r="I334" s="20"/>
      <c r="J334" s="35"/>
    </row>
    <row r="335" spans="1:10" ht="165.75">
      <c r="A335" s="31"/>
      <c r="B335" s="26" t="s">
        <v>161</v>
      </c>
      <c r="C335" s="22"/>
      <c r="D335" s="13" t="s">
        <v>162</v>
      </c>
      <c r="E335" s="13"/>
      <c r="F335" s="13"/>
      <c r="G335" s="13"/>
      <c r="H335" s="13"/>
      <c r="I335" s="13"/>
      <c r="J335" s="16"/>
    </row>
    <row r="336" spans="1:10">
      <c r="A336" s="31"/>
      <c r="B336" s="29"/>
      <c r="C336" s="30"/>
      <c r="D336" s="67" t="s">
        <v>145</v>
      </c>
      <c r="E336" s="24"/>
      <c r="F336" s="17"/>
      <c r="G336" s="26"/>
      <c r="H336" s="17"/>
      <c r="I336" s="20"/>
      <c r="J336" s="21"/>
    </row>
    <row r="337" spans="1:10">
      <c r="A337" s="31"/>
      <c r="B337" s="29"/>
      <c r="C337" s="30">
        <v>1</v>
      </c>
      <c r="D337" s="23" t="s">
        <v>9</v>
      </c>
      <c r="E337" s="58">
        <v>0.125</v>
      </c>
      <c r="F337" s="25" t="s">
        <v>10</v>
      </c>
      <c r="G337" s="26">
        <v>1</v>
      </c>
      <c r="H337" s="25" t="s">
        <v>10</v>
      </c>
      <c r="I337" s="20">
        <v>775</v>
      </c>
      <c r="J337" s="21">
        <f>SUM(E337*I337/G337)</f>
        <v>96.875</v>
      </c>
    </row>
    <row r="338" spans="1:10">
      <c r="A338" s="31"/>
      <c r="B338" s="29"/>
      <c r="C338" s="30">
        <v>2</v>
      </c>
      <c r="D338" s="27" t="s">
        <v>12</v>
      </c>
      <c r="E338" s="58">
        <v>0.125</v>
      </c>
      <c r="F338" s="25" t="s">
        <v>10</v>
      </c>
      <c r="G338" s="26">
        <v>1</v>
      </c>
      <c r="H338" s="25" t="s">
        <v>10</v>
      </c>
      <c r="I338" s="20">
        <v>650</v>
      </c>
      <c r="J338" s="21">
        <f>SUM(E338*I338/G338)</f>
        <v>81.25</v>
      </c>
    </row>
    <row r="339" spans="1:10">
      <c r="A339" s="31"/>
      <c r="B339" s="29"/>
      <c r="C339" s="30"/>
      <c r="D339" s="68" t="s">
        <v>163</v>
      </c>
      <c r="E339" s="69">
        <v>-0.1</v>
      </c>
      <c r="F339" s="70" t="s">
        <v>24</v>
      </c>
      <c r="G339" s="71">
        <v>1</v>
      </c>
      <c r="H339" s="70" t="s">
        <v>24</v>
      </c>
      <c r="I339" s="72">
        <v>650</v>
      </c>
      <c r="J339" s="73">
        <f>SUM(E339*I339/G339)</f>
        <v>-65</v>
      </c>
    </row>
    <row r="340" spans="1:10">
      <c r="A340" s="31"/>
      <c r="B340" s="29"/>
      <c r="C340" s="30"/>
      <c r="D340" s="18" t="s">
        <v>100</v>
      </c>
      <c r="E340" s="24"/>
      <c r="F340" s="25"/>
      <c r="G340" s="26"/>
      <c r="H340" s="25"/>
      <c r="I340" s="20"/>
      <c r="J340" s="21">
        <f>SUM(J337:J339)</f>
        <v>113.125</v>
      </c>
    </row>
    <row r="341" spans="1:10">
      <c r="A341" s="31"/>
      <c r="B341" s="26"/>
      <c r="C341" s="22"/>
      <c r="D341" s="44" t="s">
        <v>43</v>
      </c>
      <c r="E341" s="31"/>
      <c r="F341" s="17"/>
      <c r="G341" s="26"/>
      <c r="H341" s="17"/>
      <c r="I341" s="20"/>
      <c r="J341" s="21">
        <f>J340*0.4</f>
        <v>45.25</v>
      </c>
    </row>
    <row r="342" spans="1:10">
      <c r="A342" s="31"/>
      <c r="B342" s="26"/>
      <c r="C342" s="22"/>
      <c r="D342" s="13" t="s">
        <v>17</v>
      </c>
      <c r="E342" s="31"/>
      <c r="F342" s="17"/>
      <c r="G342" s="26"/>
      <c r="H342" s="17"/>
      <c r="I342" s="20"/>
      <c r="J342" s="21">
        <f>SUM(J340:J341)</f>
        <v>158.375</v>
      </c>
    </row>
    <row r="343" spans="1:10">
      <c r="A343" s="31"/>
      <c r="B343" s="29"/>
      <c r="C343" s="30"/>
      <c r="D343" s="18" t="s">
        <v>164</v>
      </c>
      <c r="E343" s="24"/>
      <c r="F343" s="25"/>
      <c r="G343" s="26"/>
      <c r="H343" s="25"/>
      <c r="I343" s="20"/>
      <c r="J343" s="21"/>
    </row>
    <row r="344" spans="1:10" ht="51">
      <c r="A344" s="17"/>
      <c r="B344" s="74" t="s">
        <v>165</v>
      </c>
      <c r="C344" s="75">
        <v>3</v>
      </c>
      <c r="D344" s="76" t="s">
        <v>166</v>
      </c>
      <c r="E344" s="77">
        <v>1</v>
      </c>
      <c r="F344" s="74" t="s">
        <v>32</v>
      </c>
      <c r="G344" s="78">
        <v>100</v>
      </c>
      <c r="H344" s="74" t="s">
        <v>64</v>
      </c>
      <c r="I344" s="79">
        <v>1390</v>
      </c>
      <c r="J344" s="79">
        <f>SUM(E344*I344/G344)</f>
        <v>13.9</v>
      </c>
    </row>
    <row r="345" spans="1:10" ht="191.25">
      <c r="A345" s="31"/>
      <c r="B345" s="74" t="s">
        <v>167</v>
      </c>
      <c r="C345" s="75">
        <v>4</v>
      </c>
      <c r="D345" s="80" t="s">
        <v>168</v>
      </c>
      <c r="E345" s="77">
        <v>1</v>
      </c>
      <c r="F345" s="74" t="s">
        <v>24</v>
      </c>
      <c r="G345" s="78">
        <v>1</v>
      </c>
      <c r="H345" s="74" t="s">
        <v>24</v>
      </c>
      <c r="I345" s="79">
        <v>3085</v>
      </c>
      <c r="J345" s="21">
        <f>SUM(E345*I345/G345)</f>
        <v>3085</v>
      </c>
    </row>
    <row r="346" spans="1:10">
      <c r="A346" s="31"/>
      <c r="B346" s="17"/>
      <c r="C346" s="31"/>
      <c r="D346" s="81" t="s">
        <v>169</v>
      </c>
      <c r="E346" s="69"/>
      <c r="F346" s="70"/>
      <c r="G346" s="71"/>
      <c r="H346" s="70"/>
      <c r="I346" s="82">
        <v>0.01</v>
      </c>
      <c r="J346" s="73">
        <f>SUM(J345*I346)</f>
        <v>30.85</v>
      </c>
    </row>
    <row r="347" spans="1:10">
      <c r="A347" s="31"/>
      <c r="B347" s="29"/>
      <c r="C347" s="30"/>
      <c r="D347" s="18" t="s">
        <v>170</v>
      </c>
      <c r="E347" s="24"/>
      <c r="F347" s="17"/>
      <c r="G347" s="26"/>
      <c r="H347" s="17"/>
      <c r="I347" s="20"/>
      <c r="J347" s="21">
        <f>SUM(J344:J346)</f>
        <v>3129.75</v>
      </c>
    </row>
    <row r="348" spans="1:10">
      <c r="A348" s="31"/>
      <c r="B348" s="17"/>
      <c r="C348" s="31"/>
      <c r="D348" s="18" t="s">
        <v>35</v>
      </c>
      <c r="E348" s="17"/>
      <c r="F348" s="17"/>
      <c r="G348" s="17"/>
      <c r="H348" s="31"/>
      <c r="I348" s="20"/>
      <c r="J348" s="21">
        <f>J347+J342</f>
        <v>3288.125</v>
      </c>
    </row>
    <row r="349" spans="1:10">
      <c r="A349" s="17"/>
      <c r="B349" s="29"/>
      <c r="C349" s="30"/>
      <c r="D349" s="18" t="s">
        <v>36</v>
      </c>
      <c r="E349" s="24"/>
      <c r="F349" s="25"/>
      <c r="G349" s="26"/>
      <c r="H349" s="25"/>
      <c r="I349" s="20"/>
      <c r="J349" s="36">
        <f>(J348)*0.10615</f>
        <v>349.03446874999997</v>
      </c>
    </row>
    <row r="350" spans="1:10">
      <c r="A350" s="17"/>
      <c r="B350" s="29"/>
      <c r="C350" s="30"/>
      <c r="D350" s="18" t="s">
        <v>37</v>
      </c>
      <c r="E350" s="24"/>
      <c r="F350" s="25"/>
      <c r="G350" s="26"/>
      <c r="H350" s="25"/>
      <c r="I350" s="20"/>
      <c r="J350" s="36">
        <f>SUM(J348:J349)</f>
        <v>3637.1594687500001</v>
      </c>
    </row>
    <row r="351" spans="1:10">
      <c r="A351" s="17"/>
      <c r="B351" s="29"/>
      <c r="C351" s="30"/>
      <c r="D351" s="18" t="s">
        <v>38</v>
      </c>
      <c r="E351" s="24"/>
      <c r="F351" s="25"/>
      <c r="G351" s="26"/>
      <c r="H351" s="25"/>
      <c r="I351" s="20"/>
      <c r="J351" s="37">
        <f>ROUND(J350,0)</f>
        <v>3637</v>
      </c>
    </row>
    <row r="352" spans="1:10">
      <c r="A352" s="38"/>
      <c r="B352" s="39"/>
      <c r="C352" s="40"/>
      <c r="D352" s="4" t="s">
        <v>171</v>
      </c>
      <c r="E352" s="41"/>
      <c r="F352" s="41"/>
      <c r="G352" s="41"/>
      <c r="H352" s="41"/>
      <c r="I352" s="41"/>
      <c r="J352" s="42"/>
    </row>
    <row r="353" spans="1:10">
      <c r="A353" s="17"/>
      <c r="B353" s="63"/>
      <c r="C353" s="64"/>
      <c r="D353" s="10" t="s">
        <v>1</v>
      </c>
      <c r="E353" s="24"/>
      <c r="F353" s="17"/>
      <c r="G353" s="26"/>
      <c r="H353" s="17"/>
      <c r="I353" s="20"/>
      <c r="J353" s="21"/>
    </row>
    <row r="354" spans="1:10" ht="51">
      <c r="A354" s="17"/>
      <c r="B354" s="14" t="s">
        <v>172</v>
      </c>
      <c r="C354" s="15"/>
      <c r="D354" s="13" t="s">
        <v>173</v>
      </c>
      <c r="E354" s="13"/>
      <c r="F354" s="13"/>
      <c r="G354" s="13"/>
      <c r="H354" s="13"/>
      <c r="I354" s="13"/>
      <c r="J354" s="16"/>
    </row>
    <row r="355" spans="1:10">
      <c r="A355" s="17"/>
      <c r="B355" s="14"/>
      <c r="C355" s="15"/>
      <c r="D355" s="67" t="s">
        <v>145</v>
      </c>
      <c r="E355" s="24"/>
      <c r="F355" s="17"/>
      <c r="G355" s="26"/>
      <c r="H355" s="17"/>
      <c r="I355" s="20"/>
      <c r="J355" s="21"/>
    </row>
    <row r="356" spans="1:10" ht="25.5">
      <c r="A356" s="17"/>
      <c r="B356" s="14"/>
      <c r="C356" s="22">
        <v>1</v>
      </c>
      <c r="D356" s="27" t="s">
        <v>11</v>
      </c>
      <c r="E356" s="24">
        <v>0.1</v>
      </c>
      <c r="F356" s="17" t="s">
        <v>24</v>
      </c>
      <c r="G356" s="26">
        <v>1</v>
      </c>
      <c r="H356" s="17" t="s">
        <v>24</v>
      </c>
      <c r="I356" s="20">
        <v>650</v>
      </c>
      <c r="J356" s="21">
        <f>SUM(E356*I356/G356)</f>
        <v>65</v>
      </c>
    </row>
    <row r="357" spans="1:10">
      <c r="A357" s="17"/>
      <c r="B357" s="63"/>
      <c r="C357" s="34"/>
      <c r="D357" s="18" t="s">
        <v>100</v>
      </c>
      <c r="E357" s="24"/>
      <c r="F357" s="25"/>
      <c r="G357" s="26"/>
      <c r="H357" s="25"/>
      <c r="I357" s="20"/>
      <c r="J357" s="21">
        <f>SUM(J356:J356)</f>
        <v>65</v>
      </c>
    </row>
    <row r="358" spans="1:10">
      <c r="A358" s="17"/>
      <c r="B358" s="63"/>
      <c r="C358" s="34"/>
      <c r="D358" s="44" t="s">
        <v>43</v>
      </c>
      <c r="E358" s="31"/>
      <c r="F358" s="17"/>
      <c r="G358" s="26"/>
      <c r="H358" s="17"/>
      <c r="I358" s="20"/>
      <c r="J358" s="21">
        <f>J357*0.4</f>
        <v>26</v>
      </c>
    </row>
    <row r="359" spans="1:10">
      <c r="A359" s="17"/>
      <c r="B359" s="63"/>
      <c r="C359" s="34"/>
      <c r="D359" s="13" t="s">
        <v>17</v>
      </c>
      <c r="E359" s="31"/>
      <c r="F359" s="17"/>
      <c r="G359" s="26"/>
      <c r="H359" s="17"/>
      <c r="I359" s="20"/>
      <c r="J359" s="21">
        <f>SUM(J357:J358)</f>
        <v>91</v>
      </c>
    </row>
    <row r="360" spans="1:10">
      <c r="A360" s="17"/>
      <c r="B360" s="63"/>
      <c r="C360" s="34"/>
      <c r="D360" s="18" t="s">
        <v>164</v>
      </c>
      <c r="E360" s="17"/>
      <c r="F360" s="17"/>
      <c r="G360" s="17"/>
      <c r="H360" s="17"/>
      <c r="I360" s="17"/>
      <c r="J360" s="63"/>
    </row>
    <row r="361" spans="1:10" ht="38.25">
      <c r="A361" s="17"/>
      <c r="B361" s="63" t="s">
        <v>174</v>
      </c>
      <c r="C361" s="34">
        <v>2</v>
      </c>
      <c r="D361" s="76" t="s">
        <v>175</v>
      </c>
      <c r="E361" s="26">
        <v>1</v>
      </c>
      <c r="F361" s="17" t="s">
        <v>24</v>
      </c>
      <c r="G361" s="26">
        <v>1</v>
      </c>
      <c r="H361" s="17" t="s">
        <v>24</v>
      </c>
      <c r="I361" s="20">
        <v>525</v>
      </c>
      <c r="J361" s="21">
        <f>SUM(E361*I361/G361)</f>
        <v>525</v>
      </c>
    </row>
    <row r="362" spans="1:10">
      <c r="A362" s="17"/>
      <c r="B362" s="63"/>
      <c r="C362" s="34"/>
      <c r="D362" s="57" t="s">
        <v>95</v>
      </c>
      <c r="E362" s="26"/>
      <c r="F362" s="17"/>
      <c r="G362" s="26"/>
      <c r="H362" s="17"/>
      <c r="I362" s="20"/>
      <c r="J362" s="21">
        <f>SUM(J361)</f>
        <v>525</v>
      </c>
    </row>
    <row r="363" spans="1:10">
      <c r="A363" s="17"/>
      <c r="B363" s="63"/>
      <c r="C363" s="34"/>
      <c r="D363" s="18" t="s">
        <v>35</v>
      </c>
      <c r="E363" s="26"/>
      <c r="F363" s="17"/>
      <c r="G363" s="26"/>
      <c r="H363" s="17"/>
      <c r="I363" s="20"/>
      <c r="J363" s="21">
        <f>J362+J359</f>
        <v>616</v>
      </c>
    </row>
    <row r="364" spans="1:10">
      <c r="A364" s="17"/>
      <c r="B364" s="29"/>
      <c r="C364" s="30"/>
      <c r="D364" s="18" t="s">
        <v>36</v>
      </c>
      <c r="E364" s="24"/>
      <c r="F364" s="25"/>
      <c r="G364" s="26"/>
      <c r="H364" s="25"/>
      <c r="I364" s="20"/>
      <c r="J364" s="36">
        <f>(J363)*0.10615</f>
        <v>65.38839999999999</v>
      </c>
    </row>
    <row r="365" spans="1:10">
      <c r="A365" s="17"/>
      <c r="B365" s="29"/>
      <c r="C365" s="30"/>
      <c r="D365" s="18" t="s">
        <v>37</v>
      </c>
      <c r="E365" s="24"/>
      <c r="F365" s="25"/>
      <c r="G365" s="26"/>
      <c r="H365" s="25"/>
      <c r="I365" s="20"/>
      <c r="J365" s="36">
        <f>SUM(J363:J364)</f>
        <v>681.38840000000005</v>
      </c>
    </row>
    <row r="366" spans="1:10">
      <c r="A366" s="17"/>
      <c r="B366" s="29"/>
      <c r="C366" s="30"/>
      <c r="D366" s="18" t="s">
        <v>38</v>
      </c>
      <c r="E366" s="24"/>
      <c r="F366" s="25"/>
      <c r="G366" s="26"/>
      <c r="H366" s="25"/>
      <c r="I366" s="20"/>
      <c r="J366" s="37">
        <f>ROUND(J365,0)</f>
        <v>681</v>
      </c>
    </row>
    <row r="367" spans="1:10">
      <c r="A367" s="38"/>
      <c r="B367" s="39"/>
      <c r="C367" s="40"/>
      <c r="D367" s="4" t="s">
        <v>176</v>
      </c>
      <c r="E367" s="41"/>
      <c r="F367" s="41"/>
      <c r="G367" s="41"/>
      <c r="H367" s="41"/>
      <c r="I367" s="41"/>
      <c r="J367" s="42"/>
    </row>
    <row r="368" spans="1:10">
      <c r="A368" s="17"/>
      <c r="B368" s="29"/>
      <c r="C368" s="30"/>
      <c r="D368" s="10" t="s">
        <v>1</v>
      </c>
      <c r="E368" s="43"/>
      <c r="F368" s="29"/>
      <c r="G368" s="49"/>
      <c r="H368" s="29"/>
      <c r="I368" s="43"/>
      <c r="J368" s="63"/>
    </row>
    <row r="369" spans="1:10" ht="38.25">
      <c r="A369" s="83"/>
      <c r="B369" s="84" t="s">
        <v>177</v>
      </c>
      <c r="C369" s="85"/>
      <c r="D369" s="86" t="s">
        <v>178</v>
      </c>
      <c r="E369" s="86"/>
      <c r="F369" s="86"/>
      <c r="G369" s="86"/>
      <c r="H369" s="86"/>
      <c r="I369" s="86"/>
      <c r="J369" s="87"/>
    </row>
    <row r="370" spans="1:10">
      <c r="A370" s="17"/>
      <c r="B370" s="29"/>
      <c r="C370" s="30"/>
      <c r="D370" s="45" t="s">
        <v>4</v>
      </c>
      <c r="E370" s="43"/>
      <c r="F370" s="29"/>
      <c r="G370" s="49"/>
      <c r="H370" s="29"/>
      <c r="I370" s="47"/>
      <c r="J370" s="21"/>
    </row>
    <row r="371" spans="1:10">
      <c r="A371" s="17"/>
      <c r="B371" s="29"/>
      <c r="C371" s="30">
        <v>1</v>
      </c>
      <c r="D371" s="23" t="s">
        <v>9</v>
      </c>
      <c r="E371" s="24">
        <v>0.04</v>
      </c>
      <c r="F371" s="48" t="s">
        <v>10</v>
      </c>
      <c r="G371" s="49">
        <v>1</v>
      </c>
      <c r="H371" s="48" t="s">
        <v>10</v>
      </c>
      <c r="I371" s="47">
        <v>775</v>
      </c>
      <c r="J371" s="21">
        <f>SUM(E371*I371/G371)</f>
        <v>31</v>
      </c>
    </row>
    <row r="372" spans="1:10">
      <c r="A372" s="17"/>
      <c r="B372" s="29"/>
      <c r="C372" s="30">
        <v>2</v>
      </c>
      <c r="D372" s="27" t="s">
        <v>12</v>
      </c>
      <c r="E372" s="24">
        <v>0.04</v>
      </c>
      <c r="F372" s="25" t="s">
        <v>10</v>
      </c>
      <c r="G372" s="26">
        <v>1</v>
      </c>
      <c r="H372" s="25" t="s">
        <v>10</v>
      </c>
      <c r="I372" s="20">
        <v>650</v>
      </c>
      <c r="J372" s="21">
        <f>SUM(E372*I372/G372)</f>
        <v>26</v>
      </c>
    </row>
    <row r="373" spans="1:10">
      <c r="A373" s="17"/>
      <c r="B373" s="29"/>
      <c r="C373" s="30"/>
      <c r="D373" s="45" t="s">
        <v>179</v>
      </c>
      <c r="E373" s="43"/>
      <c r="F373" s="48"/>
      <c r="G373" s="49"/>
      <c r="H373" s="48"/>
      <c r="I373" s="47"/>
      <c r="J373" s="21">
        <f>SUM(J371:J372)</f>
        <v>57</v>
      </c>
    </row>
    <row r="374" spans="1:10">
      <c r="A374" s="17"/>
      <c r="B374" s="29"/>
      <c r="C374" s="30"/>
      <c r="D374" s="44" t="s">
        <v>43</v>
      </c>
      <c r="E374" s="50"/>
      <c r="F374" s="29"/>
      <c r="G374" s="49"/>
      <c r="H374" s="29"/>
      <c r="I374" s="47"/>
      <c r="J374" s="21">
        <f>J373*0.4</f>
        <v>22.8</v>
      </c>
    </row>
    <row r="375" spans="1:10">
      <c r="A375" s="17"/>
      <c r="B375" s="29"/>
      <c r="C375" s="30"/>
      <c r="D375" s="44" t="s">
        <v>44</v>
      </c>
      <c r="E375" s="50"/>
      <c r="F375" s="29"/>
      <c r="G375" s="49"/>
      <c r="H375" s="29"/>
      <c r="I375" s="47"/>
      <c r="J375" s="21">
        <f>SUM(J373:J374)</f>
        <v>79.8</v>
      </c>
    </row>
    <row r="376" spans="1:10">
      <c r="A376" s="17"/>
      <c r="B376" s="29"/>
      <c r="C376" s="30"/>
      <c r="D376" s="45" t="s">
        <v>18</v>
      </c>
      <c r="E376" s="43"/>
      <c r="F376" s="48"/>
      <c r="G376" s="49"/>
      <c r="H376" s="48"/>
      <c r="I376" s="47"/>
      <c r="J376" s="21"/>
    </row>
    <row r="377" spans="1:10" ht="38.25">
      <c r="A377" s="17"/>
      <c r="B377" s="29"/>
      <c r="C377" s="30">
        <v>3</v>
      </c>
      <c r="D377" s="54" t="s">
        <v>180</v>
      </c>
      <c r="E377" s="43">
        <v>1</v>
      </c>
      <c r="F377" s="29" t="s">
        <v>29</v>
      </c>
      <c r="G377" s="49">
        <v>1</v>
      </c>
      <c r="H377" s="29" t="s">
        <v>29</v>
      </c>
      <c r="I377" s="47">
        <v>545</v>
      </c>
      <c r="J377" s="21">
        <f>SUM(E377*I377/G377)</f>
        <v>545</v>
      </c>
    </row>
    <row r="378" spans="1:10">
      <c r="A378" s="17"/>
      <c r="B378" s="29"/>
      <c r="C378" s="30"/>
      <c r="D378" s="45" t="s">
        <v>181</v>
      </c>
      <c r="E378" s="43"/>
      <c r="F378" s="29"/>
      <c r="G378" s="49"/>
      <c r="H378" s="29"/>
      <c r="I378" s="47"/>
      <c r="J378" s="21">
        <f>SUM(J377:J377)</f>
        <v>545</v>
      </c>
    </row>
    <row r="379" spans="1:10">
      <c r="A379" s="17"/>
      <c r="B379" s="29"/>
      <c r="C379" s="30"/>
      <c r="D379" s="45" t="s">
        <v>35</v>
      </c>
      <c r="E379" s="43"/>
      <c r="F379" s="29"/>
      <c r="G379" s="49"/>
      <c r="H379" s="29"/>
      <c r="I379" s="62"/>
      <c r="J379" s="21">
        <f>J378+J375</f>
        <v>624.79999999999995</v>
      </c>
    </row>
    <row r="380" spans="1:10">
      <c r="A380" s="17"/>
      <c r="B380" s="17"/>
      <c r="C380" s="31"/>
      <c r="D380" s="18" t="s">
        <v>182</v>
      </c>
      <c r="E380" s="24"/>
      <c r="F380" s="25"/>
      <c r="G380" s="26"/>
      <c r="H380" s="25"/>
      <c r="I380" s="20"/>
      <c r="J380" s="21">
        <f>ROUND(J379,0)</f>
        <v>625</v>
      </c>
    </row>
    <row r="381" spans="1:10">
      <c r="A381" s="38"/>
      <c r="B381" s="39"/>
      <c r="C381" s="40"/>
      <c r="D381" s="4" t="s">
        <v>183</v>
      </c>
      <c r="E381" s="41"/>
      <c r="F381" s="41"/>
      <c r="G381" s="41"/>
      <c r="H381" s="41"/>
      <c r="I381" s="41"/>
      <c r="J381" s="42"/>
    </row>
    <row r="382" spans="1:10">
      <c r="A382" s="17"/>
      <c r="B382" s="43"/>
      <c r="C382" s="47"/>
      <c r="D382" s="10" t="s">
        <v>1</v>
      </c>
      <c r="E382" s="43"/>
      <c r="F382" s="29"/>
      <c r="G382" s="49"/>
      <c r="H382" s="29"/>
      <c r="I382" s="43"/>
      <c r="J382" s="35"/>
    </row>
    <row r="383" spans="1:10" ht="114.75">
      <c r="A383" s="17"/>
      <c r="B383" s="26" t="s">
        <v>143</v>
      </c>
      <c r="C383" s="22"/>
      <c r="D383" s="13" t="s">
        <v>184</v>
      </c>
      <c r="E383" s="13"/>
      <c r="F383" s="13"/>
      <c r="G383" s="13"/>
      <c r="H383" s="13"/>
      <c r="I383" s="13"/>
      <c r="J383" s="16"/>
    </row>
    <row r="384" spans="1:10">
      <c r="A384" s="17"/>
      <c r="B384" s="63"/>
      <c r="C384" s="34"/>
      <c r="D384" s="18" t="s">
        <v>145</v>
      </c>
      <c r="E384" s="24"/>
      <c r="F384" s="17"/>
      <c r="G384" s="26"/>
      <c r="H384" s="17"/>
      <c r="I384" s="20"/>
      <c r="J384" s="21"/>
    </row>
    <row r="385" spans="1:10">
      <c r="A385" s="17"/>
      <c r="B385" s="63"/>
      <c r="C385" s="34"/>
      <c r="D385" s="18" t="s">
        <v>100</v>
      </c>
      <c r="E385" s="24"/>
      <c r="F385" s="25"/>
      <c r="G385" s="26"/>
      <c r="H385" s="25"/>
      <c r="I385" s="20"/>
      <c r="J385" s="21">
        <v>30</v>
      </c>
    </row>
    <row r="386" spans="1:10">
      <c r="A386" s="17"/>
      <c r="B386" s="63"/>
      <c r="C386" s="34"/>
      <c r="D386" s="44" t="s">
        <v>43</v>
      </c>
      <c r="E386" s="50"/>
      <c r="F386" s="29"/>
      <c r="G386" s="49"/>
      <c r="H386" s="29"/>
      <c r="I386" s="47"/>
      <c r="J386" s="21">
        <f>J385*0.4</f>
        <v>12</v>
      </c>
    </row>
    <row r="387" spans="1:10">
      <c r="A387" s="17"/>
      <c r="B387" s="63"/>
      <c r="C387" s="34"/>
      <c r="D387" s="13" t="s">
        <v>17</v>
      </c>
      <c r="E387" s="31"/>
      <c r="F387" s="17"/>
      <c r="G387" s="26"/>
      <c r="H387" s="17"/>
      <c r="I387" s="20"/>
      <c r="J387" s="21">
        <f>SUM(J385:J386)</f>
        <v>42</v>
      </c>
    </row>
    <row r="388" spans="1:10">
      <c r="A388" s="17"/>
      <c r="B388" s="63"/>
      <c r="C388" s="34"/>
      <c r="D388" s="18" t="s">
        <v>18</v>
      </c>
      <c r="E388" s="24"/>
      <c r="F388" s="25"/>
      <c r="G388" s="26"/>
      <c r="H388" s="25"/>
      <c r="I388" s="20"/>
      <c r="J388" s="21"/>
    </row>
    <row r="389" spans="1:10">
      <c r="A389" s="17"/>
      <c r="B389" s="17"/>
      <c r="C389" s="31"/>
      <c r="D389" s="18" t="s">
        <v>146</v>
      </c>
      <c r="E389" s="24"/>
      <c r="F389" s="25"/>
      <c r="G389" s="26"/>
      <c r="H389" s="25"/>
      <c r="I389" s="20"/>
      <c r="J389" s="21"/>
    </row>
    <row r="390" spans="1:10" ht="127.5">
      <c r="A390" s="17"/>
      <c r="B390" s="17" t="s">
        <v>185</v>
      </c>
      <c r="C390" s="31">
        <v>7</v>
      </c>
      <c r="D390" s="65" t="s">
        <v>186</v>
      </c>
      <c r="E390" s="26">
        <v>1</v>
      </c>
      <c r="F390" s="17" t="s">
        <v>29</v>
      </c>
      <c r="G390" s="26">
        <v>1</v>
      </c>
      <c r="H390" s="17" t="s">
        <v>29</v>
      </c>
      <c r="I390" s="20">
        <f>346*0.7</f>
        <v>242.2</v>
      </c>
      <c r="J390" s="21">
        <f>SUM(E390*I390/G390)</f>
        <v>242.2</v>
      </c>
    </row>
    <row r="391" spans="1:10">
      <c r="A391" s="17"/>
      <c r="B391" s="63"/>
      <c r="C391" s="64"/>
      <c r="D391" s="18" t="s">
        <v>141</v>
      </c>
      <c r="E391" s="24"/>
      <c r="F391" s="17"/>
      <c r="G391" s="26"/>
      <c r="H391" s="17"/>
      <c r="I391" s="20"/>
      <c r="J391" s="21">
        <f>J390</f>
        <v>242.2</v>
      </c>
    </row>
    <row r="392" spans="1:10">
      <c r="A392" s="17"/>
      <c r="B392" s="63"/>
      <c r="C392" s="64"/>
      <c r="D392" s="18" t="s">
        <v>35</v>
      </c>
      <c r="E392" s="17"/>
      <c r="F392" s="17"/>
      <c r="G392" s="17"/>
      <c r="H392" s="17"/>
      <c r="I392" s="20"/>
      <c r="J392" s="35">
        <f>J391+J387+J389</f>
        <v>284.2</v>
      </c>
    </row>
    <row r="393" spans="1:10">
      <c r="A393" s="17"/>
      <c r="B393" s="29"/>
      <c r="C393" s="30"/>
      <c r="D393" s="18" t="s">
        <v>36</v>
      </c>
      <c r="E393" s="24"/>
      <c r="F393" s="25"/>
      <c r="G393" s="26"/>
      <c r="H393" s="25"/>
      <c r="I393" s="20"/>
      <c r="J393" s="36">
        <f>(J392)*0.10615</f>
        <v>30.167829999999999</v>
      </c>
    </row>
    <row r="394" spans="1:10">
      <c r="A394" s="17"/>
      <c r="B394" s="29"/>
      <c r="C394" s="30"/>
      <c r="D394" s="18" t="s">
        <v>37</v>
      </c>
      <c r="E394" s="24"/>
      <c r="F394" s="25"/>
      <c r="G394" s="26"/>
      <c r="H394" s="25"/>
      <c r="I394" s="20"/>
      <c r="J394" s="36">
        <f>SUM(J392:J393)</f>
        <v>314.36782999999997</v>
      </c>
    </row>
    <row r="395" spans="1:10">
      <c r="A395" s="17"/>
      <c r="B395" s="29"/>
      <c r="C395" s="30"/>
      <c r="D395" s="18" t="s">
        <v>38</v>
      </c>
      <c r="E395" s="24"/>
      <c r="F395" s="25"/>
      <c r="G395" s="26"/>
      <c r="H395" s="25"/>
      <c r="I395" s="20"/>
      <c r="J395" s="37">
        <f>ROUND(J394,0)</f>
        <v>314</v>
      </c>
    </row>
    <row r="396" spans="1:10">
      <c r="A396" s="38"/>
      <c r="B396" s="39"/>
      <c r="C396" s="40"/>
      <c r="D396" s="4" t="s">
        <v>187</v>
      </c>
      <c r="E396" s="41"/>
      <c r="F396" s="41"/>
      <c r="G396" s="41"/>
      <c r="H396" s="41"/>
      <c r="I396" s="41"/>
      <c r="J396" s="42"/>
    </row>
    <row r="397" spans="1:10">
      <c r="A397" s="17"/>
      <c r="B397" s="29"/>
      <c r="C397" s="30"/>
      <c r="D397" s="10" t="s">
        <v>1</v>
      </c>
      <c r="E397" s="29"/>
      <c r="F397" s="29"/>
      <c r="G397" s="29"/>
      <c r="H397" s="29"/>
      <c r="I397" s="34"/>
      <c r="J397" s="63"/>
    </row>
    <row r="398" spans="1:10" ht="51">
      <c r="A398" s="17"/>
      <c r="B398" s="44" t="s">
        <v>188</v>
      </c>
      <c r="C398" s="46"/>
      <c r="D398" s="13" t="s">
        <v>189</v>
      </c>
      <c r="E398" s="13"/>
      <c r="F398" s="13"/>
      <c r="G398" s="13"/>
      <c r="H398" s="13"/>
      <c r="I398" s="13"/>
      <c r="J398" s="16"/>
    </row>
    <row r="399" spans="1:10">
      <c r="A399" s="17"/>
      <c r="B399" s="44"/>
      <c r="C399" s="46"/>
      <c r="D399" s="46" t="s">
        <v>145</v>
      </c>
      <c r="E399" s="43"/>
      <c r="F399" s="29"/>
      <c r="G399" s="49"/>
      <c r="H399" s="29"/>
      <c r="I399" s="47"/>
      <c r="J399" s="21"/>
    </row>
    <row r="400" spans="1:10">
      <c r="A400" s="17"/>
      <c r="B400" s="44"/>
      <c r="C400" s="30">
        <v>1</v>
      </c>
      <c r="D400" s="23" t="s">
        <v>9</v>
      </c>
      <c r="E400" s="30">
        <v>0.25</v>
      </c>
      <c r="F400" s="48" t="s">
        <v>10</v>
      </c>
      <c r="G400" s="49">
        <v>1</v>
      </c>
      <c r="H400" s="48" t="s">
        <v>10</v>
      </c>
      <c r="I400" s="20">
        <v>775</v>
      </c>
      <c r="J400" s="21">
        <f>SUM(E400*I400/G400)</f>
        <v>193.75</v>
      </c>
    </row>
    <row r="401" spans="1:10" ht="25.5">
      <c r="A401" s="17"/>
      <c r="B401" s="44"/>
      <c r="C401" s="30">
        <v>2</v>
      </c>
      <c r="D401" s="27" t="s">
        <v>11</v>
      </c>
      <c r="E401" s="30">
        <v>0.25</v>
      </c>
      <c r="F401" s="48" t="s">
        <v>10</v>
      </c>
      <c r="G401" s="49">
        <v>1</v>
      </c>
      <c r="H401" s="48" t="s">
        <v>10</v>
      </c>
      <c r="I401" s="20">
        <v>650</v>
      </c>
      <c r="J401" s="21">
        <f>SUM(E401*I401/G401)</f>
        <v>162.5</v>
      </c>
    </row>
    <row r="402" spans="1:10">
      <c r="A402" s="17"/>
      <c r="B402" s="44"/>
      <c r="C402" s="30"/>
      <c r="D402" s="45" t="s">
        <v>100</v>
      </c>
      <c r="E402" s="43"/>
      <c r="F402" s="48"/>
      <c r="G402" s="49"/>
      <c r="H402" s="48"/>
      <c r="I402" s="47"/>
      <c r="J402" s="21">
        <f>SUM(J400:J401)</f>
        <v>356.25</v>
      </c>
    </row>
    <row r="403" spans="1:10">
      <c r="A403" s="17"/>
      <c r="B403" s="44"/>
      <c r="C403" s="30"/>
      <c r="D403" s="44" t="s">
        <v>43</v>
      </c>
      <c r="E403" s="50"/>
      <c r="F403" s="29"/>
      <c r="G403" s="49"/>
      <c r="H403" s="29"/>
      <c r="I403" s="47"/>
      <c r="J403" s="21">
        <f>J402*0.4</f>
        <v>142.5</v>
      </c>
    </row>
    <row r="404" spans="1:10">
      <c r="A404" s="17"/>
      <c r="B404" s="44"/>
      <c r="C404" s="30"/>
      <c r="D404" s="44" t="s">
        <v>44</v>
      </c>
      <c r="E404" s="50"/>
      <c r="F404" s="29"/>
      <c r="G404" s="49"/>
      <c r="H404" s="29"/>
      <c r="I404" s="47"/>
      <c r="J404" s="21">
        <f>SUM(J402:J403)</f>
        <v>498.75</v>
      </c>
    </row>
    <row r="405" spans="1:10">
      <c r="A405" s="17"/>
      <c r="B405" s="29"/>
      <c r="C405" s="30">
        <v>3</v>
      </c>
      <c r="D405" s="45" t="s">
        <v>190</v>
      </c>
      <c r="E405" s="49"/>
      <c r="F405" s="29"/>
      <c r="G405" s="49"/>
      <c r="H405" s="29"/>
      <c r="I405" s="47">
        <v>15</v>
      </c>
      <c r="J405" s="21">
        <f>I405</f>
        <v>15</v>
      </c>
    </row>
    <row r="406" spans="1:10">
      <c r="A406" s="17"/>
      <c r="B406" s="29"/>
      <c r="C406" s="30"/>
      <c r="D406" s="45" t="s">
        <v>191</v>
      </c>
      <c r="E406" s="43"/>
      <c r="F406" s="48"/>
      <c r="G406" s="49"/>
      <c r="H406" s="48"/>
      <c r="I406" s="47"/>
      <c r="J406" s="21">
        <f>SUM(J405:J405)</f>
        <v>15</v>
      </c>
    </row>
    <row r="407" spans="1:10">
      <c r="A407" s="17"/>
      <c r="B407" s="29"/>
      <c r="C407" s="30"/>
      <c r="D407" s="45" t="s">
        <v>164</v>
      </c>
      <c r="E407" s="43"/>
      <c r="F407" s="48"/>
      <c r="G407" s="49"/>
      <c r="H407" s="48"/>
      <c r="I407" s="47"/>
      <c r="J407" s="21"/>
    </row>
    <row r="408" spans="1:10" ht="51">
      <c r="A408" s="17"/>
      <c r="B408" s="29" t="s">
        <v>192</v>
      </c>
      <c r="C408" s="30">
        <v>4</v>
      </c>
      <c r="D408" s="18" t="s">
        <v>193</v>
      </c>
      <c r="E408" s="26">
        <v>1</v>
      </c>
      <c r="F408" s="17" t="s">
        <v>29</v>
      </c>
      <c r="G408" s="26">
        <v>1</v>
      </c>
      <c r="H408" s="17" t="s">
        <v>29</v>
      </c>
      <c r="I408" s="20">
        <v>1817</v>
      </c>
      <c r="J408" s="21">
        <f>SUM(E408*I408/G408)</f>
        <v>1817</v>
      </c>
    </row>
    <row r="409" spans="1:10">
      <c r="A409" s="17"/>
      <c r="B409" s="29"/>
      <c r="C409" s="30"/>
      <c r="D409" s="45" t="s">
        <v>194</v>
      </c>
      <c r="E409" s="43"/>
      <c r="F409" s="29"/>
      <c r="G409" s="49"/>
      <c r="H409" s="29"/>
      <c r="I409" s="55">
        <v>0.01</v>
      </c>
      <c r="J409" s="21">
        <f>J408*I409</f>
        <v>18.170000000000002</v>
      </c>
    </row>
    <row r="410" spans="1:10">
      <c r="A410" s="17"/>
      <c r="B410" s="29"/>
      <c r="C410" s="30"/>
      <c r="D410" s="45" t="s">
        <v>170</v>
      </c>
      <c r="E410" s="43"/>
      <c r="F410" s="48"/>
      <c r="G410" s="49"/>
      <c r="H410" s="48"/>
      <c r="I410" s="47"/>
      <c r="J410" s="21">
        <f>SUM(J406:J409)</f>
        <v>1850.17</v>
      </c>
    </row>
    <row r="411" spans="1:10">
      <c r="A411" s="17"/>
      <c r="B411" s="29"/>
      <c r="C411" s="30"/>
      <c r="D411" s="45" t="s">
        <v>35</v>
      </c>
      <c r="E411" s="29"/>
      <c r="F411" s="29"/>
      <c r="G411" s="29"/>
      <c r="H411" s="29"/>
      <c r="I411" s="62"/>
      <c r="J411" s="35">
        <f>J410+J404</f>
        <v>2348.92</v>
      </c>
    </row>
    <row r="412" spans="1:10">
      <c r="A412" s="17"/>
      <c r="B412" s="29"/>
      <c r="C412" s="30"/>
      <c r="D412" s="18" t="s">
        <v>36</v>
      </c>
      <c r="E412" s="24"/>
      <c r="F412" s="25"/>
      <c r="G412" s="26"/>
      <c r="H412" s="25"/>
      <c r="I412" s="20"/>
      <c r="J412" s="36">
        <f>(J411)*0.10615</f>
        <v>249.33785799999998</v>
      </c>
    </row>
    <row r="413" spans="1:10">
      <c r="A413" s="17"/>
      <c r="B413" s="29"/>
      <c r="C413" s="30"/>
      <c r="D413" s="18" t="s">
        <v>37</v>
      </c>
      <c r="E413" s="24"/>
      <c r="F413" s="25"/>
      <c r="G413" s="26"/>
      <c r="H413" s="25"/>
      <c r="I413" s="20"/>
      <c r="J413" s="36">
        <f>SUM(J411:J412)</f>
        <v>2598.2578579999999</v>
      </c>
    </row>
    <row r="414" spans="1:10">
      <c r="A414" s="17"/>
      <c r="B414" s="29"/>
      <c r="C414" s="30"/>
      <c r="D414" s="18" t="s">
        <v>38</v>
      </c>
      <c r="E414" s="24"/>
      <c r="F414" s="25"/>
      <c r="G414" s="26"/>
      <c r="H414" s="25"/>
      <c r="I414" s="20"/>
      <c r="J414" s="37">
        <f>ROUND(J413,0)</f>
        <v>2598</v>
      </c>
    </row>
    <row r="415" spans="1:10">
      <c r="A415" s="38"/>
      <c r="B415" s="39"/>
      <c r="C415" s="40"/>
      <c r="D415" s="4" t="s">
        <v>195</v>
      </c>
      <c r="E415" s="41"/>
      <c r="F415" s="41"/>
      <c r="G415" s="41"/>
      <c r="H415" s="41"/>
      <c r="I415" s="41"/>
      <c r="J415" s="42"/>
    </row>
    <row r="416" spans="1:10">
      <c r="A416" s="17"/>
      <c r="B416" s="29"/>
      <c r="C416" s="30"/>
      <c r="D416" s="10" t="s">
        <v>1</v>
      </c>
      <c r="E416" s="43"/>
      <c r="F416" s="29"/>
      <c r="G416" s="49"/>
      <c r="H416" s="29"/>
      <c r="I416" s="43"/>
      <c r="J416" s="63"/>
    </row>
    <row r="417" spans="1:10" ht="63.75">
      <c r="A417" s="17"/>
      <c r="B417" s="88" t="s">
        <v>196</v>
      </c>
      <c r="C417" s="89"/>
      <c r="D417" s="44" t="s">
        <v>197</v>
      </c>
      <c r="E417" s="44"/>
      <c r="F417" s="44"/>
      <c r="G417" s="44"/>
      <c r="H417" s="44"/>
      <c r="I417" s="44"/>
      <c r="J417" s="16"/>
    </row>
    <row r="418" spans="1:10">
      <c r="A418" s="17"/>
      <c r="B418" s="29"/>
      <c r="C418" s="30"/>
      <c r="D418" s="45" t="s">
        <v>4</v>
      </c>
      <c r="E418" s="43"/>
      <c r="F418" s="29"/>
      <c r="G418" s="49"/>
      <c r="H418" s="29"/>
      <c r="I418" s="47"/>
      <c r="J418" s="21"/>
    </row>
    <row r="419" spans="1:10">
      <c r="A419" s="17"/>
      <c r="B419" s="29"/>
      <c r="C419" s="30">
        <v>1</v>
      </c>
      <c r="D419" s="23" t="s">
        <v>9</v>
      </c>
      <c r="E419" s="24">
        <v>0.67</v>
      </c>
      <c r="F419" s="48" t="s">
        <v>10</v>
      </c>
      <c r="G419" s="49">
        <v>1</v>
      </c>
      <c r="H419" s="48" t="s">
        <v>10</v>
      </c>
      <c r="I419" s="20">
        <v>775</v>
      </c>
      <c r="J419" s="21">
        <f>SUM(E419*I419/G419)</f>
        <v>519.25</v>
      </c>
    </row>
    <row r="420" spans="1:10" ht="25.5">
      <c r="A420" s="17"/>
      <c r="B420" s="29"/>
      <c r="C420" s="30">
        <v>2</v>
      </c>
      <c r="D420" s="27" t="s">
        <v>11</v>
      </c>
      <c r="E420" s="24">
        <v>2</v>
      </c>
      <c r="F420" s="48" t="s">
        <v>10</v>
      </c>
      <c r="G420" s="49">
        <v>1</v>
      </c>
      <c r="H420" s="48" t="s">
        <v>10</v>
      </c>
      <c r="I420" s="20">
        <v>650</v>
      </c>
      <c r="J420" s="21">
        <f>SUM(E420*I420/G420)</f>
        <v>1300</v>
      </c>
    </row>
    <row r="421" spans="1:10">
      <c r="A421" s="17"/>
      <c r="B421" s="29"/>
      <c r="C421" s="30">
        <v>3</v>
      </c>
      <c r="D421" s="27" t="s">
        <v>12</v>
      </c>
      <c r="E421" s="24">
        <v>0.67</v>
      </c>
      <c r="F421" s="25" t="s">
        <v>10</v>
      </c>
      <c r="G421" s="26">
        <v>1</v>
      </c>
      <c r="H421" s="25" t="s">
        <v>10</v>
      </c>
      <c r="I421" s="20">
        <v>650</v>
      </c>
      <c r="J421" s="21">
        <f>SUM(E421*I421/G421)</f>
        <v>435.5</v>
      </c>
    </row>
    <row r="422" spans="1:10">
      <c r="A422" s="17"/>
      <c r="B422" s="29"/>
      <c r="C422" s="30"/>
      <c r="D422" s="45" t="s">
        <v>198</v>
      </c>
      <c r="E422" s="43"/>
      <c r="F422" s="48"/>
      <c r="G422" s="49"/>
      <c r="H422" s="48"/>
      <c r="I422" s="47"/>
      <c r="J422" s="21">
        <f>SUM(J419:J421)</f>
        <v>2254.75</v>
      </c>
    </row>
    <row r="423" spans="1:10">
      <c r="A423" s="17"/>
      <c r="B423" s="29"/>
      <c r="C423" s="30"/>
      <c r="D423" s="45" t="s">
        <v>199</v>
      </c>
      <c r="E423" s="49"/>
      <c r="F423" s="48"/>
      <c r="G423" s="49"/>
      <c r="H423" s="48"/>
      <c r="I423" s="47"/>
      <c r="J423" s="21">
        <f>SUM(J422/100)</f>
        <v>22.547499999999999</v>
      </c>
    </row>
    <row r="424" spans="1:10">
      <c r="A424" s="17"/>
      <c r="B424" s="29"/>
      <c r="C424" s="30"/>
      <c r="D424" s="44" t="s">
        <v>43</v>
      </c>
      <c r="E424" s="50"/>
      <c r="F424" s="29"/>
      <c r="G424" s="49"/>
      <c r="H424" s="29"/>
      <c r="I424" s="47"/>
      <c r="J424" s="21">
        <f>J423*0.4</f>
        <v>9.0190000000000001</v>
      </c>
    </row>
    <row r="425" spans="1:10">
      <c r="A425" s="17"/>
      <c r="B425" s="29"/>
      <c r="C425" s="30"/>
      <c r="D425" s="44" t="s">
        <v>44</v>
      </c>
      <c r="E425" s="50"/>
      <c r="F425" s="29"/>
      <c r="G425" s="49"/>
      <c r="H425" s="29"/>
      <c r="I425" s="47"/>
      <c r="J425" s="21">
        <f>SUM(J423:J424)</f>
        <v>31.566499999999998</v>
      </c>
    </row>
    <row r="426" spans="1:10">
      <c r="A426" s="17"/>
      <c r="B426" s="29"/>
      <c r="C426" s="30"/>
      <c r="D426" s="45" t="s">
        <v>18</v>
      </c>
      <c r="E426" s="43"/>
      <c r="F426" s="48"/>
      <c r="G426" s="49"/>
      <c r="H426" s="48"/>
      <c r="I426" s="47"/>
      <c r="J426" s="21"/>
    </row>
    <row r="427" spans="1:10" ht="38.25">
      <c r="A427" s="17"/>
      <c r="B427" s="29" t="s">
        <v>200</v>
      </c>
      <c r="C427" s="30">
        <v>4</v>
      </c>
      <c r="D427" s="54" t="s">
        <v>201</v>
      </c>
      <c r="E427" s="43">
        <v>300</v>
      </c>
      <c r="F427" s="29" t="s">
        <v>64</v>
      </c>
      <c r="G427" s="49">
        <v>100</v>
      </c>
      <c r="H427" s="29" t="s">
        <v>64</v>
      </c>
      <c r="I427" s="47">
        <v>4095</v>
      </c>
      <c r="J427" s="21">
        <f>SUM(E427*I427/G427)</f>
        <v>12285</v>
      </c>
    </row>
    <row r="428" spans="1:10">
      <c r="A428" s="17"/>
      <c r="B428" s="29"/>
      <c r="C428" s="30"/>
      <c r="D428" s="45" t="s">
        <v>202</v>
      </c>
      <c r="E428" s="43"/>
      <c r="F428" s="29"/>
      <c r="G428" s="49"/>
      <c r="H428" s="29"/>
      <c r="I428" s="47"/>
      <c r="J428" s="21">
        <f>SUM(J427:J427)</f>
        <v>12285</v>
      </c>
    </row>
    <row r="429" spans="1:10">
      <c r="A429" s="17"/>
      <c r="B429" s="29"/>
      <c r="C429" s="30"/>
      <c r="D429" s="45" t="s">
        <v>203</v>
      </c>
      <c r="E429" s="43"/>
      <c r="F429" s="29"/>
      <c r="G429" s="49"/>
      <c r="H429" s="29"/>
      <c r="I429" s="47"/>
      <c r="J429" s="21">
        <f>SUM(J428/100)</f>
        <v>122.85</v>
      </c>
    </row>
    <row r="430" spans="1:10">
      <c r="A430" s="17"/>
      <c r="B430" s="29"/>
      <c r="C430" s="30"/>
      <c r="D430" s="45" t="s">
        <v>35</v>
      </c>
      <c r="E430" s="43"/>
      <c r="F430" s="29"/>
      <c r="G430" s="49"/>
      <c r="H430" s="29"/>
      <c r="I430" s="62"/>
      <c r="J430" s="21">
        <f>J429+J425</f>
        <v>154.41649999999998</v>
      </c>
    </row>
    <row r="431" spans="1:10">
      <c r="A431" s="17"/>
      <c r="B431" s="29"/>
      <c r="C431" s="30"/>
      <c r="D431" s="18" t="s">
        <v>36</v>
      </c>
      <c r="E431" s="24"/>
      <c r="F431" s="25"/>
      <c r="G431" s="26"/>
      <c r="H431" s="25"/>
      <c r="I431" s="20"/>
      <c r="J431" s="36">
        <f>(J430)*0.10615</f>
        <v>16.391311474999998</v>
      </c>
    </row>
    <row r="432" spans="1:10">
      <c r="A432" s="17"/>
      <c r="B432" s="29"/>
      <c r="C432" s="30"/>
      <c r="D432" s="18" t="s">
        <v>37</v>
      </c>
      <c r="E432" s="24"/>
      <c r="F432" s="25"/>
      <c r="G432" s="26"/>
      <c r="H432" s="25"/>
      <c r="I432" s="20"/>
      <c r="J432" s="36">
        <f>SUM(J430:J431)</f>
        <v>170.80781147499999</v>
      </c>
    </row>
    <row r="433" spans="1:10" ht="89.25">
      <c r="A433" s="17"/>
      <c r="B433" s="29" t="s">
        <v>81</v>
      </c>
      <c r="C433" s="30"/>
      <c r="D433" s="18" t="s">
        <v>82</v>
      </c>
      <c r="E433" s="24"/>
      <c r="F433" s="25"/>
      <c r="G433" s="26"/>
      <c r="H433" s="25"/>
      <c r="I433" s="20"/>
      <c r="J433" s="36">
        <f>J432*80%</f>
        <v>136.64624918000001</v>
      </c>
    </row>
    <row r="434" spans="1:10">
      <c r="A434" s="17"/>
      <c r="B434" s="29"/>
      <c r="C434" s="30"/>
      <c r="D434" s="18" t="s">
        <v>38</v>
      </c>
      <c r="E434" s="24"/>
      <c r="F434" s="25"/>
      <c r="G434" s="26"/>
      <c r="H434" s="25"/>
      <c r="I434" s="20"/>
      <c r="J434" s="37">
        <f>ROUND(J433,0)</f>
        <v>137</v>
      </c>
    </row>
    <row r="435" spans="1:10">
      <c r="A435" s="38"/>
      <c r="B435" s="39"/>
      <c r="C435" s="40"/>
      <c r="D435" s="4" t="s">
        <v>204</v>
      </c>
      <c r="E435" s="41"/>
      <c r="F435" s="41"/>
      <c r="G435" s="41"/>
      <c r="H435" s="41"/>
      <c r="I435" s="41"/>
      <c r="J435" s="42"/>
    </row>
    <row r="436" spans="1:10">
      <c r="A436" s="31"/>
      <c r="B436" s="17"/>
      <c r="C436" s="31"/>
      <c r="D436" s="10" t="s">
        <v>1</v>
      </c>
      <c r="E436" s="43"/>
      <c r="F436" s="48"/>
      <c r="G436" s="49"/>
      <c r="H436" s="48"/>
      <c r="I436" s="62"/>
      <c r="J436" s="21"/>
    </row>
    <row r="437" spans="1:10" ht="51">
      <c r="A437" s="17"/>
      <c r="B437" s="26" t="s">
        <v>205</v>
      </c>
      <c r="C437" s="22"/>
      <c r="D437" s="44" t="s">
        <v>206</v>
      </c>
      <c r="E437" s="44"/>
      <c r="F437" s="44"/>
      <c r="G437" s="44"/>
      <c r="H437" s="44"/>
      <c r="I437" s="44"/>
      <c r="J437" s="16"/>
    </row>
    <row r="438" spans="1:10" ht="38.25">
      <c r="A438" s="17"/>
      <c r="B438" s="29"/>
      <c r="C438" s="30"/>
      <c r="D438" s="66" t="s">
        <v>207</v>
      </c>
      <c r="E438" s="66"/>
      <c r="F438" s="66"/>
      <c r="G438" s="66"/>
      <c r="H438" s="66"/>
      <c r="I438" s="66"/>
      <c r="J438" s="16"/>
    </row>
    <row r="439" spans="1:10">
      <c r="A439" s="17"/>
      <c r="B439" s="29"/>
      <c r="C439" s="30"/>
      <c r="D439" s="45" t="s">
        <v>4</v>
      </c>
      <c r="E439" s="43"/>
      <c r="F439" s="29"/>
      <c r="G439" s="49"/>
      <c r="H439" s="29"/>
      <c r="I439" s="47"/>
      <c r="J439" s="21"/>
    </row>
    <row r="440" spans="1:10">
      <c r="A440" s="17"/>
      <c r="B440" s="29"/>
      <c r="C440" s="30">
        <v>1</v>
      </c>
      <c r="D440" s="23" t="s">
        <v>9</v>
      </c>
      <c r="E440" s="43">
        <v>1</v>
      </c>
      <c r="F440" s="48" t="s">
        <v>10</v>
      </c>
      <c r="G440" s="49">
        <v>1</v>
      </c>
      <c r="H440" s="48" t="s">
        <v>10</v>
      </c>
      <c r="I440" s="20">
        <v>775</v>
      </c>
      <c r="J440" s="21">
        <f>SUM(E440*I440/G440)</f>
        <v>775</v>
      </c>
    </row>
    <row r="441" spans="1:10" ht="25.5">
      <c r="A441" s="17"/>
      <c r="B441" s="29"/>
      <c r="C441" s="30">
        <v>2</v>
      </c>
      <c r="D441" s="27" t="s">
        <v>11</v>
      </c>
      <c r="E441" s="43">
        <v>3</v>
      </c>
      <c r="F441" s="48" t="s">
        <v>10</v>
      </c>
      <c r="G441" s="49">
        <v>1</v>
      </c>
      <c r="H441" s="48" t="s">
        <v>10</v>
      </c>
      <c r="I441" s="20">
        <v>650</v>
      </c>
      <c r="J441" s="21">
        <f>SUM(E441*I441/G441)</f>
        <v>1950</v>
      </c>
    </row>
    <row r="442" spans="1:10">
      <c r="A442" s="17"/>
      <c r="B442" s="29"/>
      <c r="C442" s="30">
        <v>3</v>
      </c>
      <c r="D442" s="27" t="s">
        <v>12</v>
      </c>
      <c r="E442" s="24">
        <v>1</v>
      </c>
      <c r="F442" s="25" t="s">
        <v>10</v>
      </c>
      <c r="G442" s="26">
        <v>1</v>
      </c>
      <c r="H442" s="25" t="s">
        <v>10</v>
      </c>
      <c r="I442" s="20">
        <v>650</v>
      </c>
      <c r="J442" s="21">
        <f>SUM(E442*I442/G442)</f>
        <v>650</v>
      </c>
    </row>
    <row r="443" spans="1:10">
      <c r="A443" s="17"/>
      <c r="B443" s="29"/>
      <c r="C443" s="30"/>
      <c r="D443" s="45" t="s">
        <v>198</v>
      </c>
      <c r="E443" s="43"/>
      <c r="F443" s="48"/>
      <c r="G443" s="49"/>
      <c r="H443" s="48"/>
      <c r="I443" s="47"/>
      <c r="J443" s="21">
        <f>SUM(J440:J442)</f>
        <v>3375</v>
      </c>
    </row>
    <row r="444" spans="1:10">
      <c r="A444" s="17"/>
      <c r="B444" s="29"/>
      <c r="C444" s="30"/>
      <c r="D444" s="45" t="s">
        <v>199</v>
      </c>
      <c r="E444" s="49"/>
      <c r="F444" s="48"/>
      <c r="G444" s="49"/>
      <c r="H444" s="48"/>
      <c r="I444" s="47"/>
      <c r="J444" s="21">
        <f>SUM(J443/100)</f>
        <v>33.75</v>
      </c>
    </row>
    <row r="445" spans="1:10">
      <c r="A445" s="17"/>
      <c r="B445" s="29"/>
      <c r="C445" s="30"/>
      <c r="D445" s="44" t="s">
        <v>43</v>
      </c>
      <c r="E445" s="50"/>
      <c r="F445" s="29"/>
      <c r="G445" s="49"/>
      <c r="H445" s="29"/>
      <c r="I445" s="47"/>
      <c r="J445" s="21">
        <f>J444*0.4</f>
        <v>13.5</v>
      </c>
    </row>
    <row r="446" spans="1:10">
      <c r="A446" s="17"/>
      <c r="B446" s="29"/>
      <c r="C446" s="30"/>
      <c r="D446" s="44" t="s">
        <v>44</v>
      </c>
      <c r="E446" s="50"/>
      <c r="F446" s="29"/>
      <c r="G446" s="49"/>
      <c r="H446" s="29"/>
      <c r="I446" s="47"/>
      <c r="J446" s="21">
        <f>SUM(J444:J445)</f>
        <v>47.25</v>
      </c>
    </row>
    <row r="447" spans="1:10">
      <c r="A447" s="17"/>
      <c r="B447" s="29"/>
      <c r="C447" s="30"/>
      <c r="D447" s="45" t="s">
        <v>18</v>
      </c>
      <c r="E447" s="43"/>
      <c r="F447" s="48"/>
      <c r="G447" s="49"/>
      <c r="H447" s="48"/>
      <c r="I447" s="47"/>
      <c r="J447" s="21"/>
    </row>
    <row r="448" spans="1:10" ht="38.25">
      <c r="A448" s="17"/>
      <c r="B448" s="29" t="s">
        <v>208</v>
      </c>
      <c r="C448" s="30">
        <v>4</v>
      </c>
      <c r="D448" s="54" t="s">
        <v>209</v>
      </c>
      <c r="E448" s="43">
        <v>300</v>
      </c>
      <c r="F448" s="29" t="s">
        <v>64</v>
      </c>
      <c r="G448" s="49">
        <v>100</v>
      </c>
      <c r="H448" s="29" t="s">
        <v>64</v>
      </c>
      <c r="I448" s="47">
        <v>6250</v>
      </c>
      <c r="J448" s="21">
        <f>SUM(E448*I448/G448)</f>
        <v>18750</v>
      </c>
    </row>
    <row r="449" spans="1:10">
      <c r="A449" s="17"/>
      <c r="B449" s="29"/>
      <c r="C449" s="30"/>
      <c r="D449" s="45" t="s">
        <v>202</v>
      </c>
      <c r="E449" s="43"/>
      <c r="F449" s="29"/>
      <c r="G449" s="49"/>
      <c r="H449" s="29"/>
      <c r="I449" s="47"/>
      <c r="J449" s="21">
        <f>SUM(J448:J448)</f>
        <v>18750</v>
      </c>
    </row>
    <row r="450" spans="1:10">
      <c r="A450" s="17"/>
      <c r="B450" s="29"/>
      <c r="C450" s="30"/>
      <c r="D450" s="45" t="s">
        <v>203</v>
      </c>
      <c r="E450" s="43"/>
      <c r="F450" s="29"/>
      <c r="G450" s="49"/>
      <c r="H450" s="29"/>
      <c r="I450" s="47"/>
      <c r="J450" s="21">
        <f>SUM(J449/100)</f>
        <v>187.5</v>
      </c>
    </row>
    <row r="451" spans="1:10">
      <c r="A451" s="17"/>
      <c r="B451" s="29"/>
      <c r="C451" s="30"/>
      <c r="D451" s="45" t="s">
        <v>35</v>
      </c>
      <c r="E451" s="43"/>
      <c r="F451" s="29"/>
      <c r="G451" s="49"/>
      <c r="H451" s="29"/>
      <c r="I451" s="62"/>
      <c r="J451" s="21">
        <f>J450+J446</f>
        <v>234.75</v>
      </c>
    </row>
    <row r="452" spans="1:10">
      <c r="A452" s="17"/>
      <c r="B452" s="29"/>
      <c r="C452" s="30"/>
      <c r="D452" s="18" t="s">
        <v>36</v>
      </c>
      <c r="E452" s="24"/>
      <c r="F452" s="25"/>
      <c r="G452" s="26"/>
      <c r="H452" s="25"/>
      <c r="I452" s="20"/>
      <c r="J452" s="36">
        <f>(J451)*0.10615</f>
        <v>24.918712499999998</v>
      </c>
    </row>
    <row r="453" spans="1:10">
      <c r="A453" s="17"/>
      <c r="B453" s="29"/>
      <c r="C453" s="30"/>
      <c r="D453" s="18" t="s">
        <v>37</v>
      </c>
      <c r="E453" s="24"/>
      <c r="F453" s="25"/>
      <c r="G453" s="26"/>
      <c r="H453" s="25"/>
      <c r="I453" s="20"/>
      <c r="J453" s="36">
        <f>SUM(J451:J452)</f>
        <v>259.66871249999997</v>
      </c>
    </row>
    <row r="454" spans="1:10" ht="63.75">
      <c r="A454" s="17"/>
      <c r="B454" s="29" t="s">
        <v>81</v>
      </c>
      <c r="C454" s="30"/>
      <c r="D454" s="18" t="s">
        <v>210</v>
      </c>
      <c r="E454" s="24"/>
      <c r="F454" s="25"/>
      <c r="G454" s="26"/>
      <c r="H454" s="25"/>
      <c r="I454" s="20"/>
      <c r="J454" s="36">
        <f>J453*85%</f>
        <v>220.71840562499997</v>
      </c>
    </row>
    <row r="455" spans="1:10">
      <c r="A455" s="17"/>
      <c r="B455" s="29"/>
      <c r="C455" s="30"/>
      <c r="D455" s="18" t="s">
        <v>38</v>
      </c>
      <c r="E455" s="24"/>
      <c r="F455" s="25"/>
      <c r="G455" s="26"/>
      <c r="H455" s="25"/>
      <c r="I455" s="20"/>
      <c r="J455" s="37">
        <f>ROUND(J454,0)</f>
        <v>221</v>
      </c>
    </row>
    <row r="456" spans="1:10">
      <c r="A456" s="38"/>
      <c r="B456" s="39"/>
      <c r="C456" s="40"/>
      <c r="D456" s="4" t="s">
        <v>211</v>
      </c>
      <c r="E456" s="41"/>
      <c r="F456" s="41"/>
      <c r="G456" s="41"/>
      <c r="H456" s="41"/>
      <c r="I456" s="41"/>
      <c r="J456" s="42"/>
    </row>
    <row r="457" spans="1:10">
      <c r="A457" s="17"/>
      <c r="B457" s="29"/>
      <c r="C457" s="30"/>
      <c r="D457" s="10" t="s">
        <v>1</v>
      </c>
      <c r="E457" s="43"/>
      <c r="F457" s="29"/>
      <c r="G457" s="49"/>
      <c r="H457" s="29"/>
      <c r="I457" s="62"/>
      <c r="J457" s="21"/>
    </row>
    <row r="458" spans="1:10" ht="63.75">
      <c r="A458" s="17"/>
      <c r="B458" s="26" t="s">
        <v>212</v>
      </c>
      <c r="C458" s="22"/>
      <c r="D458" s="44" t="s">
        <v>213</v>
      </c>
      <c r="E458" s="44"/>
      <c r="F458" s="44"/>
      <c r="G458" s="44"/>
      <c r="H458" s="44"/>
      <c r="I458" s="44"/>
      <c r="J458" s="16"/>
    </row>
    <row r="459" spans="1:10" ht="38.25">
      <c r="A459" s="17"/>
      <c r="B459" s="29"/>
      <c r="C459" s="30"/>
      <c r="D459" s="66" t="s">
        <v>207</v>
      </c>
      <c r="E459" s="66"/>
      <c r="F459" s="66"/>
      <c r="G459" s="66"/>
      <c r="H459" s="66"/>
      <c r="I459" s="66"/>
      <c r="J459" s="16"/>
    </row>
    <row r="460" spans="1:10">
      <c r="A460" s="17"/>
      <c r="B460" s="29"/>
      <c r="C460" s="30"/>
      <c r="D460" s="45" t="s">
        <v>4</v>
      </c>
      <c r="E460" s="43"/>
      <c r="F460" s="29"/>
      <c r="G460" s="29"/>
      <c r="H460" s="29"/>
      <c r="I460" s="43"/>
      <c r="J460" s="34"/>
    </row>
    <row r="461" spans="1:10">
      <c r="A461" s="17"/>
      <c r="B461" s="29"/>
      <c r="C461" s="30">
        <v>1</v>
      </c>
      <c r="D461" s="23" t="s">
        <v>9</v>
      </c>
      <c r="E461" s="43">
        <v>2</v>
      </c>
      <c r="F461" s="29" t="s">
        <v>10</v>
      </c>
      <c r="G461" s="29">
        <v>1</v>
      </c>
      <c r="H461" s="29" t="s">
        <v>10</v>
      </c>
      <c r="I461" s="20">
        <v>775</v>
      </c>
      <c r="J461" s="34">
        <f>SUM(E461*I461/G461)</f>
        <v>1550</v>
      </c>
    </row>
    <row r="462" spans="1:10" ht="25.5">
      <c r="A462" s="17"/>
      <c r="B462" s="29"/>
      <c r="C462" s="30">
        <v>2</v>
      </c>
      <c r="D462" s="27" t="s">
        <v>11</v>
      </c>
      <c r="E462" s="43">
        <v>6</v>
      </c>
      <c r="F462" s="29" t="s">
        <v>10</v>
      </c>
      <c r="G462" s="29">
        <v>1</v>
      </c>
      <c r="H462" s="29" t="s">
        <v>10</v>
      </c>
      <c r="I462" s="20">
        <v>650</v>
      </c>
      <c r="J462" s="34">
        <f>SUM(E462*I462/G462)</f>
        <v>3900</v>
      </c>
    </row>
    <row r="463" spans="1:10">
      <c r="A463" s="17"/>
      <c r="B463" s="29"/>
      <c r="C463" s="30">
        <v>3</v>
      </c>
      <c r="D463" s="27" t="s">
        <v>12</v>
      </c>
      <c r="E463" s="24">
        <v>2</v>
      </c>
      <c r="F463" s="29" t="s">
        <v>10</v>
      </c>
      <c r="G463" s="29">
        <v>1</v>
      </c>
      <c r="H463" s="29" t="s">
        <v>10</v>
      </c>
      <c r="I463" s="20">
        <v>650</v>
      </c>
      <c r="J463" s="34">
        <f>SUM(E463*I463/G463)</f>
        <v>1300</v>
      </c>
    </row>
    <row r="464" spans="1:10">
      <c r="A464" s="17"/>
      <c r="B464" s="29"/>
      <c r="C464" s="30"/>
      <c r="D464" s="45" t="s">
        <v>198</v>
      </c>
      <c r="E464" s="43"/>
      <c r="F464" s="29"/>
      <c r="G464" s="29"/>
      <c r="H464" s="29"/>
      <c r="I464" s="43"/>
      <c r="J464" s="34">
        <f>SUM(J461:J463)</f>
        <v>6750</v>
      </c>
    </row>
    <row r="465" spans="1:10">
      <c r="A465" s="17"/>
      <c r="B465" s="29"/>
      <c r="C465" s="30"/>
      <c r="D465" s="45" t="s">
        <v>199</v>
      </c>
      <c r="E465" s="29"/>
      <c r="F465" s="29"/>
      <c r="G465" s="29"/>
      <c r="H465" s="29"/>
      <c r="I465" s="43"/>
      <c r="J465" s="34">
        <f>SUM(J464/100)</f>
        <v>67.5</v>
      </c>
    </row>
    <row r="466" spans="1:10">
      <c r="A466" s="17"/>
      <c r="B466" s="29"/>
      <c r="C466" s="30"/>
      <c r="D466" s="44" t="s">
        <v>43</v>
      </c>
      <c r="E466" s="50"/>
      <c r="F466" s="29"/>
      <c r="G466" s="49"/>
      <c r="H466" s="29"/>
      <c r="I466" s="47"/>
      <c r="J466" s="21">
        <f>J465*0.4</f>
        <v>27</v>
      </c>
    </row>
    <row r="467" spans="1:10">
      <c r="A467" s="17"/>
      <c r="B467" s="29"/>
      <c r="C467" s="30"/>
      <c r="D467" s="44" t="s">
        <v>44</v>
      </c>
      <c r="E467" s="50"/>
      <c r="F467" s="29"/>
      <c r="G467" s="49"/>
      <c r="H467" s="29"/>
      <c r="I467" s="47"/>
      <c r="J467" s="21">
        <f>SUM(J465:J466)</f>
        <v>94.5</v>
      </c>
    </row>
    <row r="468" spans="1:10">
      <c r="A468" s="17"/>
      <c r="B468" s="29"/>
      <c r="C468" s="30"/>
      <c r="D468" s="45" t="s">
        <v>18</v>
      </c>
      <c r="E468" s="43"/>
      <c r="F468" s="29"/>
      <c r="G468" s="29"/>
      <c r="H468" s="29"/>
      <c r="I468" s="43"/>
      <c r="J468" s="34"/>
    </row>
    <row r="469" spans="1:10" ht="38.25">
      <c r="A469" s="17"/>
      <c r="B469" s="29" t="s">
        <v>214</v>
      </c>
      <c r="C469" s="30">
        <v>4</v>
      </c>
      <c r="D469" s="44" t="s">
        <v>215</v>
      </c>
      <c r="E469" s="43">
        <v>500</v>
      </c>
      <c r="F469" s="29" t="s">
        <v>64</v>
      </c>
      <c r="G469" s="29">
        <v>100</v>
      </c>
      <c r="H469" s="29" t="s">
        <v>64</v>
      </c>
      <c r="I469" s="43">
        <v>9230</v>
      </c>
      <c r="J469" s="34">
        <f>SUM(E469*I469/G469)</f>
        <v>46150</v>
      </c>
    </row>
    <row r="470" spans="1:10">
      <c r="A470" s="17"/>
      <c r="B470" s="29"/>
      <c r="C470" s="30"/>
      <c r="D470" s="45" t="s">
        <v>202</v>
      </c>
      <c r="E470" s="43"/>
      <c r="F470" s="29"/>
      <c r="G470" s="29"/>
      <c r="H470" s="29"/>
      <c r="I470" s="43"/>
      <c r="J470" s="34">
        <f>SUM(J469:J469)</f>
        <v>46150</v>
      </c>
    </row>
    <row r="471" spans="1:10">
      <c r="A471" s="17"/>
      <c r="B471" s="29"/>
      <c r="C471" s="30"/>
      <c r="D471" s="45" t="s">
        <v>203</v>
      </c>
      <c r="E471" s="43"/>
      <c r="F471" s="29"/>
      <c r="G471" s="29"/>
      <c r="H471" s="29"/>
      <c r="I471" s="43"/>
      <c r="J471" s="34">
        <f>SUM(J470/100)</f>
        <v>461.5</v>
      </c>
    </row>
    <row r="472" spans="1:10">
      <c r="A472" s="17"/>
      <c r="B472" s="29"/>
      <c r="C472" s="30"/>
      <c r="D472" s="45" t="s">
        <v>35</v>
      </c>
      <c r="E472" s="43"/>
      <c r="F472" s="29"/>
      <c r="G472" s="29"/>
      <c r="H472" s="29"/>
      <c r="I472" s="29"/>
      <c r="J472" s="21">
        <f>J471+J467</f>
        <v>556</v>
      </c>
    </row>
    <row r="473" spans="1:10">
      <c r="A473" s="17"/>
      <c r="B473" s="29"/>
      <c r="C473" s="30"/>
      <c r="D473" s="18" t="s">
        <v>36</v>
      </c>
      <c r="E473" s="24"/>
      <c r="F473" s="25"/>
      <c r="G473" s="26"/>
      <c r="H473" s="25"/>
      <c r="I473" s="20"/>
      <c r="J473" s="36">
        <f>(J472)*0.10615</f>
        <v>59.019399999999997</v>
      </c>
    </row>
    <row r="474" spans="1:10">
      <c r="A474" s="17"/>
      <c r="B474" s="29"/>
      <c r="C474" s="30"/>
      <c r="D474" s="18" t="s">
        <v>37</v>
      </c>
      <c r="E474" s="24"/>
      <c r="F474" s="25"/>
      <c r="G474" s="26"/>
      <c r="H474" s="25"/>
      <c r="I474" s="20"/>
      <c r="J474" s="36">
        <f>SUM(J472:J473)</f>
        <v>615.01940000000002</v>
      </c>
    </row>
    <row r="475" spans="1:10" ht="63.75">
      <c r="A475" s="17"/>
      <c r="B475" s="29" t="s">
        <v>81</v>
      </c>
      <c r="C475" s="30"/>
      <c r="D475" s="18" t="s">
        <v>210</v>
      </c>
      <c r="E475" s="24"/>
      <c r="F475" s="25"/>
      <c r="G475" s="26"/>
      <c r="H475" s="25"/>
      <c r="I475" s="20"/>
      <c r="J475" s="36">
        <f>J474*85%</f>
        <v>522.76648999999998</v>
      </c>
    </row>
    <row r="476" spans="1:10">
      <c r="A476" s="17"/>
      <c r="B476" s="29"/>
      <c r="C476" s="30"/>
      <c r="D476" s="18" t="s">
        <v>38</v>
      </c>
      <c r="E476" s="24"/>
      <c r="F476" s="25"/>
      <c r="G476" s="26"/>
      <c r="H476" s="25"/>
      <c r="I476" s="20"/>
      <c r="J476" s="37">
        <f>ROUND(J475,0)</f>
        <v>523</v>
      </c>
    </row>
    <row r="477" spans="1:10" ht="18.75">
      <c r="A477" s="90"/>
      <c r="B477" s="91"/>
      <c r="C477" s="92"/>
      <c r="D477" s="93" t="s">
        <v>216</v>
      </c>
      <c r="E477" s="94"/>
      <c r="F477" s="94"/>
      <c r="G477" s="94"/>
      <c r="H477" s="90"/>
      <c r="I477" s="95"/>
      <c r="J477" s="96"/>
    </row>
    <row r="478" spans="1:10" ht="18.75">
      <c r="A478" s="97"/>
      <c r="B478" s="98"/>
      <c r="C478" s="99"/>
      <c r="D478" s="10" t="s">
        <v>1</v>
      </c>
      <c r="E478" s="100"/>
      <c r="F478" s="100"/>
      <c r="G478" s="100"/>
      <c r="H478" s="97"/>
      <c r="I478" s="101"/>
      <c r="J478" s="102"/>
    </row>
    <row r="479" spans="1:10" ht="76.5">
      <c r="A479" s="31"/>
      <c r="B479" s="103" t="s">
        <v>217</v>
      </c>
      <c r="C479" s="104"/>
      <c r="D479" s="27" t="s">
        <v>218</v>
      </c>
      <c r="E479" s="105"/>
      <c r="F479" s="105"/>
      <c r="G479" s="105"/>
      <c r="H479" s="105"/>
      <c r="I479" s="105"/>
      <c r="J479" s="106"/>
    </row>
    <row r="480" spans="1:10">
      <c r="A480" s="31"/>
      <c r="B480" s="107"/>
      <c r="C480" s="104"/>
      <c r="D480" s="108" t="s">
        <v>219</v>
      </c>
      <c r="E480" s="109"/>
      <c r="F480" s="105"/>
      <c r="G480" s="110"/>
      <c r="H480" s="105"/>
      <c r="I480" s="60"/>
      <c r="J480" s="111"/>
    </row>
    <row r="481" spans="1:10" ht="76.5">
      <c r="A481" s="31"/>
      <c r="B481" s="107" t="s">
        <v>220</v>
      </c>
      <c r="C481" s="104">
        <v>1</v>
      </c>
      <c r="D481" s="27" t="s">
        <v>221</v>
      </c>
      <c r="E481" s="109">
        <v>1</v>
      </c>
      <c r="F481" s="112" t="s">
        <v>24</v>
      </c>
      <c r="G481" s="110">
        <v>1</v>
      </c>
      <c r="H481" s="112" t="s">
        <v>222</v>
      </c>
      <c r="I481" s="60">
        <v>38850</v>
      </c>
      <c r="J481" s="111">
        <f>SUM(E481*I481/G481)</f>
        <v>38850</v>
      </c>
    </row>
    <row r="482" spans="1:10">
      <c r="A482" s="31"/>
      <c r="B482" s="107"/>
      <c r="C482" s="104"/>
      <c r="D482" s="105" t="s">
        <v>223</v>
      </c>
      <c r="E482" s="109"/>
      <c r="F482" s="105"/>
      <c r="G482" s="110"/>
      <c r="H482" s="105"/>
      <c r="I482" s="60"/>
      <c r="J482" s="111">
        <f>J481</f>
        <v>38850</v>
      </c>
    </row>
    <row r="483" spans="1:10" ht="15.75">
      <c r="A483" s="18"/>
      <c r="B483" s="45"/>
      <c r="C483" s="113"/>
      <c r="D483" s="18" t="s">
        <v>36</v>
      </c>
      <c r="E483" s="76"/>
      <c r="F483" s="114"/>
      <c r="G483" s="115"/>
      <c r="H483" s="114"/>
      <c r="I483" s="116"/>
      <c r="J483" s="117">
        <f>J482*10.615%</f>
        <v>4123.9275000000007</v>
      </c>
    </row>
    <row r="484" spans="1:10" ht="15.75">
      <c r="A484" s="18"/>
      <c r="B484" s="45"/>
      <c r="C484" s="113"/>
      <c r="D484" s="18" t="s">
        <v>37</v>
      </c>
      <c r="E484" s="76"/>
      <c r="F484" s="114"/>
      <c r="G484" s="115"/>
      <c r="H484" s="114"/>
      <c r="I484" s="116"/>
      <c r="J484" s="117">
        <f>SUM(J482:J483)</f>
        <v>42973.927499999998</v>
      </c>
    </row>
    <row r="485" spans="1:10">
      <c r="A485" s="17"/>
      <c r="B485" s="29"/>
      <c r="C485" s="30"/>
      <c r="D485" s="18" t="s">
        <v>38</v>
      </c>
      <c r="E485" s="24"/>
      <c r="F485" s="25"/>
      <c r="G485" s="26"/>
      <c r="H485" s="25"/>
      <c r="I485" s="20"/>
      <c r="J485" s="37">
        <f>ROUND(J484,0)</f>
        <v>42974</v>
      </c>
    </row>
    <row r="486" spans="1:10">
      <c r="A486" s="38"/>
      <c r="B486" s="39"/>
      <c r="C486" s="40"/>
      <c r="D486" s="4" t="s">
        <v>224</v>
      </c>
      <c r="E486" s="41"/>
      <c r="F486" s="41"/>
      <c r="G486" s="41"/>
      <c r="H486" s="41"/>
      <c r="I486" s="41"/>
      <c r="J486" s="42"/>
    </row>
    <row r="487" spans="1:10">
      <c r="A487" s="17"/>
      <c r="B487" s="29"/>
      <c r="C487" s="46"/>
      <c r="D487" s="10" t="s">
        <v>1</v>
      </c>
      <c r="E487" s="29"/>
      <c r="F487" s="29"/>
      <c r="G487" s="29"/>
      <c r="H487" s="29"/>
      <c r="I487" s="29"/>
      <c r="J487" s="34"/>
    </row>
    <row r="488" spans="1:10" ht="76.5">
      <c r="A488" s="17"/>
      <c r="B488" s="107" t="s">
        <v>225</v>
      </c>
      <c r="C488" s="118"/>
      <c r="D488" s="44" t="s">
        <v>226</v>
      </c>
      <c r="E488" s="44"/>
      <c r="F488" s="44"/>
      <c r="G488" s="44"/>
      <c r="H488" s="44"/>
      <c r="I488" s="44"/>
      <c r="J488" s="16"/>
    </row>
    <row r="489" spans="1:10">
      <c r="A489" s="17"/>
      <c r="B489" s="29"/>
      <c r="C489" s="30"/>
      <c r="D489" s="44" t="s">
        <v>227</v>
      </c>
      <c r="E489" s="43"/>
      <c r="F489" s="29"/>
      <c r="G489" s="29"/>
      <c r="H489" s="29"/>
      <c r="I489" s="43"/>
      <c r="J489" s="34"/>
    </row>
    <row r="490" spans="1:10">
      <c r="A490" s="17"/>
      <c r="B490" s="29"/>
      <c r="C490" s="30">
        <v>1</v>
      </c>
      <c r="D490" s="23" t="s">
        <v>9</v>
      </c>
      <c r="E490" s="43">
        <v>0.5</v>
      </c>
      <c r="F490" s="29" t="s">
        <v>10</v>
      </c>
      <c r="G490" s="29">
        <v>1</v>
      </c>
      <c r="H490" s="29" t="s">
        <v>10</v>
      </c>
      <c r="I490" s="43">
        <v>775</v>
      </c>
      <c r="J490" s="34">
        <f>SUM(E490*I490/G490)</f>
        <v>387.5</v>
      </c>
    </row>
    <row r="491" spans="1:10" ht="25.5">
      <c r="A491" s="17"/>
      <c r="B491" s="29"/>
      <c r="C491" s="30">
        <v>2</v>
      </c>
      <c r="D491" s="27" t="s">
        <v>11</v>
      </c>
      <c r="E491" s="43">
        <v>1</v>
      </c>
      <c r="F491" s="29" t="s">
        <v>10</v>
      </c>
      <c r="G491" s="29">
        <v>1</v>
      </c>
      <c r="H491" s="29" t="s">
        <v>10</v>
      </c>
      <c r="I491" s="43">
        <v>650</v>
      </c>
      <c r="J491" s="21">
        <f>SUM(E491*I491/G491)</f>
        <v>650</v>
      </c>
    </row>
    <row r="492" spans="1:10">
      <c r="A492" s="17"/>
      <c r="B492" s="29"/>
      <c r="C492" s="30">
        <v>3</v>
      </c>
      <c r="D492" s="27" t="s">
        <v>12</v>
      </c>
      <c r="E492" s="24">
        <v>1</v>
      </c>
      <c r="F492" s="29" t="s">
        <v>10</v>
      </c>
      <c r="G492" s="29">
        <v>1</v>
      </c>
      <c r="H492" s="29" t="s">
        <v>10</v>
      </c>
      <c r="I492" s="43">
        <v>650</v>
      </c>
      <c r="J492" s="35">
        <f>SUM(E492*I492/G492)</f>
        <v>650</v>
      </c>
    </row>
    <row r="493" spans="1:10" ht="25.5">
      <c r="A493" s="17"/>
      <c r="B493" s="29"/>
      <c r="C493" s="30">
        <v>4</v>
      </c>
      <c r="D493" s="59" t="s">
        <v>228</v>
      </c>
      <c r="E493" s="43">
        <v>1</v>
      </c>
      <c r="F493" s="29" t="s">
        <v>10</v>
      </c>
      <c r="G493" s="29">
        <v>1</v>
      </c>
      <c r="H493" s="29" t="s">
        <v>10</v>
      </c>
      <c r="I493" s="43">
        <v>650</v>
      </c>
      <c r="J493" s="21">
        <f>SUM(E493*I493/G493)</f>
        <v>650</v>
      </c>
    </row>
    <row r="494" spans="1:10">
      <c r="A494" s="17"/>
      <c r="B494" s="29"/>
      <c r="C494" s="30"/>
      <c r="D494" s="44" t="s">
        <v>100</v>
      </c>
      <c r="E494" s="43"/>
      <c r="F494" s="29"/>
      <c r="G494" s="29"/>
      <c r="H494" s="29"/>
      <c r="I494" s="43"/>
      <c r="J494" s="34">
        <f>SUM(J490:J493)</f>
        <v>2337.5</v>
      </c>
    </row>
    <row r="495" spans="1:10">
      <c r="A495" s="17"/>
      <c r="B495" s="29"/>
      <c r="C495" s="30"/>
      <c r="D495" s="44" t="s">
        <v>43</v>
      </c>
      <c r="E495" s="50"/>
      <c r="F495" s="29"/>
      <c r="G495" s="49"/>
      <c r="H495" s="29"/>
      <c r="I495" s="47"/>
      <c r="J495" s="21">
        <f>J494*0.4</f>
        <v>935</v>
      </c>
    </row>
    <row r="496" spans="1:10">
      <c r="A496" s="17"/>
      <c r="B496" s="29"/>
      <c r="C496" s="30"/>
      <c r="D496" s="44" t="s">
        <v>44</v>
      </c>
      <c r="E496" s="50"/>
      <c r="F496" s="29"/>
      <c r="G496" s="49"/>
      <c r="H496" s="29"/>
      <c r="I496" s="47"/>
      <c r="J496" s="21">
        <f>SUM(J494:J495)</f>
        <v>3272.5</v>
      </c>
    </row>
    <row r="497" spans="1:10">
      <c r="A497" s="17"/>
      <c r="B497" s="29"/>
      <c r="C497" s="30"/>
      <c r="D497" s="44" t="s">
        <v>18</v>
      </c>
      <c r="E497" s="43"/>
      <c r="F497" s="29"/>
      <c r="G497" s="29"/>
      <c r="H497" s="29"/>
      <c r="I497" s="43"/>
      <c r="J497" s="34"/>
    </row>
    <row r="498" spans="1:10" ht="22.5">
      <c r="A498" s="17"/>
      <c r="B498" s="32" t="s">
        <v>19</v>
      </c>
      <c r="C498" s="30">
        <v>5</v>
      </c>
      <c r="D498" s="54" t="s">
        <v>229</v>
      </c>
      <c r="E498" s="43">
        <v>12.5</v>
      </c>
      <c r="F498" s="29" t="s">
        <v>21</v>
      </c>
      <c r="G498" s="29">
        <v>1</v>
      </c>
      <c r="H498" s="29" t="s">
        <v>21</v>
      </c>
      <c r="I498" s="43">
        <v>9</v>
      </c>
      <c r="J498" s="34">
        <f>SUM(E498*I498/G498)</f>
        <v>112.5</v>
      </c>
    </row>
    <row r="499" spans="1:10" ht="51">
      <c r="A499" s="17"/>
      <c r="B499" s="29" t="s">
        <v>230</v>
      </c>
      <c r="C499" s="30">
        <v>6</v>
      </c>
      <c r="D499" s="44" t="s">
        <v>231</v>
      </c>
      <c r="E499" s="29">
        <v>1</v>
      </c>
      <c r="F499" s="29" t="s">
        <v>24</v>
      </c>
      <c r="G499" s="29">
        <v>1</v>
      </c>
      <c r="H499" s="17" t="s">
        <v>29</v>
      </c>
      <c r="I499" s="24">
        <v>4830</v>
      </c>
      <c r="J499" s="35">
        <f>SUM(E499*I499/G499)</f>
        <v>4830</v>
      </c>
    </row>
    <row r="500" spans="1:10" ht="25.5">
      <c r="A500" s="17"/>
      <c r="B500" s="29" t="s">
        <v>232</v>
      </c>
      <c r="C500" s="30">
        <v>7</v>
      </c>
      <c r="D500" s="44" t="s">
        <v>233</v>
      </c>
      <c r="E500" s="29">
        <v>1</v>
      </c>
      <c r="F500" s="29" t="s">
        <v>24</v>
      </c>
      <c r="G500" s="29">
        <v>1</v>
      </c>
      <c r="H500" s="17" t="s">
        <v>29</v>
      </c>
      <c r="I500" s="24">
        <v>1512</v>
      </c>
      <c r="J500" s="35">
        <f>SUM(E500*I500/G500)</f>
        <v>1512</v>
      </c>
    </row>
    <row r="501" spans="1:10" ht="25.5">
      <c r="A501" s="17"/>
      <c r="B501" s="29" t="s">
        <v>234</v>
      </c>
      <c r="C501" s="30">
        <v>2</v>
      </c>
      <c r="D501" s="54" t="s">
        <v>235</v>
      </c>
      <c r="E501" s="26">
        <v>24</v>
      </c>
      <c r="F501" s="17" t="s">
        <v>29</v>
      </c>
      <c r="G501" s="26">
        <v>1</v>
      </c>
      <c r="H501" s="17" t="s">
        <v>29</v>
      </c>
      <c r="I501" s="20">
        <v>340</v>
      </c>
      <c r="J501" s="35">
        <f>SUM(E501*I501/G501)</f>
        <v>8160</v>
      </c>
    </row>
    <row r="502" spans="1:10">
      <c r="A502" s="17"/>
      <c r="B502" s="29"/>
      <c r="C502" s="30"/>
      <c r="D502" s="18" t="s">
        <v>236</v>
      </c>
      <c r="E502" s="24"/>
      <c r="F502" s="29"/>
      <c r="G502" s="29"/>
      <c r="H502" s="17"/>
      <c r="I502" s="24"/>
      <c r="J502" s="35">
        <f>SUM(J498:J501)</f>
        <v>14614.5</v>
      </c>
    </row>
    <row r="503" spans="1:10">
      <c r="A503" s="17"/>
      <c r="B503" s="29"/>
      <c r="C503" s="30"/>
      <c r="D503" s="44" t="s">
        <v>35</v>
      </c>
      <c r="E503" s="29"/>
      <c r="F503" s="29"/>
      <c r="G503" s="29"/>
      <c r="H503" s="17"/>
      <c r="I503" s="29"/>
      <c r="J503" s="35">
        <f>J502+J496</f>
        <v>17887</v>
      </c>
    </row>
    <row r="504" spans="1:10">
      <c r="A504" s="17"/>
      <c r="B504" s="29"/>
      <c r="C504" s="30"/>
      <c r="D504" s="18" t="s">
        <v>36</v>
      </c>
      <c r="E504" s="24"/>
      <c r="F504" s="25"/>
      <c r="G504" s="26"/>
      <c r="H504" s="25"/>
      <c r="I504" s="20"/>
      <c r="J504" s="36">
        <f>(J503)*0.10615</f>
        <v>1898.7050499999998</v>
      </c>
    </row>
    <row r="505" spans="1:10">
      <c r="A505" s="17"/>
      <c r="B505" s="29"/>
      <c r="C505" s="30"/>
      <c r="D505" s="18" t="s">
        <v>37</v>
      </c>
      <c r="E505" s="24"/>
      <c r="F505" s="25"/>
      <c r="G505" s="26"/>
      <c r="H505" s="25"/>
      <c r="I505" s="20"/>
      <c r="J505" s="36">
        <f>SUM(J503:J504)</f>
        <v>19785.70505</v>
      </c>
    </row>
    <row r="506" spans="1:10">
      <c r="A506" s="17"/>
      <c r="B506" s="29"/>
      <c r="C506" s="30"/>
      <c r="D506" s="18" t="s">
        <v>38</v>
      </c>
      <c r="E506" s="24"/>
      <c r="F506" s="25"/>
      <c r="G506" s="26"/>
      <c r="H506" s="25"/>
      <c r="I506" s="20"/>
      <c r="J506" s="37">
        <f>ROUND(J505,0)</f>
        <v>19786</v>
      </c>
    </row>
    <row r="507" spans="1:10">
      <c r="A507" s="38"/>
      <c r="B507" s="39"/>
      <c r="C507" s="40"/>
      <c r="D507" s="4" t="s">
        <v>237</v>
      </c>
      <c r="E507" s="41"/>
      <c r="F507" s="41"/>
      <c r="G507" s="41"/>
      <c r="H507" s="41"/>
      <c r="I507" s="41"/>
      <c r="J507" s="42"/>
    </row>
    <row r="508" spans="1:10">
      <c r="A508" s="31"/>
      <c r="B508" s="63"/>
      <c r="C508" s="64"/>
      <c r="D508" s="10" t="s">
        <v>1</v>
      </c>
      <c r="E508" s="34"/>
      <c r="F508" s="34"/>
      <c r="G508" s="34"/>
      <c r="H508" s="34"/>
      <c r="I508" s="34"/>
      <c r="J508" s="21"/>
    </row>
    <row r="509" spans="1:10" ht="127.5">
      <c r="A509" s="31"/>
      <c r="B509" s="63" t="s">
        <v>238</v>
      </c>
      <c r="C509" s="64"/>
      <c r="D509" s="13" t="s">
        <v>239</v>
      </c>
      <c r="E509" s="13"/>
      <c r="F509" s="13"/>
      <c r="G509" s="13"/>
      <c r="H509" s="13"/>
      <c r="I509" s="13"/>
      <c r="J509" s="16"/>
    </row>
    <row r="510" spans="1:10">
      <c r="A510" s="31"/>
      <c r="B510" s="63"/>
      <c r="C510" s="64"/>
      <c r="D510" s="45" t="s">
        <v>240</v>
      </c>
      <c r="E510" s="43"/>
      <c r="F510" s="29"/>
      <c r="G510" s="49"/>
      <c r="H510" s="29"/>
      <c r="I510" s="47"/>
      <c r="J510" s="21"/>
    </row>
    <row r="511" spans="1:10">
      <c r="A511" s="31"/>
      <c r="B511" s="63"/>
      <c r="C511" s="34">
        <v>1</v>
      </c>
      <c r="D511" s="23" t="s">
        <v>9</v>
      </c>
      <c r="E511" s="119">
        <v>0.5</v>
      </c>
      <c r="F511" s="48" t="s">
        <v>10</v>
      </c>
      <c r="G511" s="49">
        <v>1</v>
      </c>
      <c r="H511" s="48" t="s">
        <v>10</v>
      </c>
      <c r="I511" s="20">
        <v>775</v>
      </c>
      <c r="J511" s="21">
        <f>SUM(E511*I511/G511)</f>
        <v>387.5</v>
      </c>
    </row>
    <row r="512" spans="1:10" ht="25.5">
      <c r="A512" s="31"/>
      <c r="B512" s="63"/>
      <c r="C512" s="34">
        <v>2</v>
      </c>
      <c r="D512" s="27" t="s">
        <v>11</v>
      </c>
      <c r="E512" s="119">
        <v>0.5</v>
      </c>
      <c r="F512" s="48" t="s">
        <v>10</v>
      </c>
      <c r="G512" s="49">
        <v>1</v>
      </c>
      <c r="H512" s="48" t="s">
        <v>10</v>
      </c>
      <c r="I512" s="20">
        <v>650</v>
      </c>
      <c r="J512" s="21">
        <f>SUM(E512*I512/G512)</f>
        <v>325</v>
      </c>
    </row>
    <row r="513" spans="1:10">
      <c r="A513" s="17"/>
      <c r="B513" s="17"/>
      <c r="C513" s="31">
        <v>3</v>
      </c>
      <c r="D513" s="27" t="s">
        <v>12</v>
      </c>
      <c r="E513" s="24">
        <v>1</v>
      </c>
      <c r="F513" s="25" t="s">
        <v>10</v>
      </c>
      <c r="G513" s="26">
        <v>1</v>
      </c>
      <c r="H513" s="25" t="s">
        <v>10</v>
      </c>
      <c r="I513" s="20">
        <v>650</v>
      </c>
      <c r="J513" s="21">
        <f>SUM(E513*I513/G513)</f>
        <v>650</v>
      </c>
    </row>
    <row r="514" spans="1:10" ht="25.5">
      <c r="A514" s="31"/>
      <c r="B514" s="63"/>
      <c r="C514" s="34">
        <v>4</v>
      </c>
      <c r="D514" s="59" t="s">
        <v>228</v>
      </c>
      <c r="E514" s="20">
        <v>0.5</v>
      </c>
      <c r="F514" s="25" t="s">
        <v>10</v>
      </c>
      <c r="G514" s="26">
        <v>1</v>
      </c>
      <c r="H514" s="25" t="s">
        <v>10</v>
      </c>
      <c r="I514" s="20">
        <v>650</v>
      </c>
      <c r="J514" s="21">
        <f>SUM(E514*I514/G514)</f>
        <v>325</v>
      </c>
    </row>
    <row r="515" spans="1:10">
      <c r="A515" s="31"/>
      <c r="B515" s="63"/>
      <c r="C515" s="34"/>
      <c r="D515" s="120" t="s">
        <v>241</v>
      </c>
      <c r="E515" s="31"/>
      <c r="F515" s="25"/>
      <c r="G515" s="26"/>
      <c r="H515" s="25"/>
      <c r="I515" s="20"/>
      <c r="J515" s="21">
        <f>SUM(J511:J514)</f>
        <v>1687.5</v>
      </c>
    </row>
    <row r="516" spans="1:10">
      <c r="A516" s="31"/>
      <c r="B516" s="26"/>
      <c r="C516" s="22"/>
      <c r="D516" s="66" t="s">
        <v>43</v>
      </c>
      <c r="E516" s="31"/>
      <c r="F516" s="17"/>
      <c r="G516" s="26"/>
      <c r="H516" s="17"/>
      <c r="I516" s="20"/>
      <c r="J516" s="21">
        <f>J515*0.4</f>
        <v>675</v>
      </c>
    </row>
    <row r="517" spans="1:10">
      <c r="A517" s="31"/>
      <c r="B517" s="26"/>
      <c r="C517" s="22"/>
      <c r="D517" s="13" t="s">
        <v>17</v>
      </c>
      <c r="E517" s="31"/>
      <c r="F517" s="17"/>
      <c r="G517" s="26"/>
      <c r="H517" s="17"/>
      <c r="I517" s="20"/>
      <c r="J517" s="21">
        <f>SUM(J515:J516)</f>
        <v>2362.5</v>
      </c>
    </row>
    <row r="518" spans="1:10">
      <c r="A518" s="31"/>
      <c r="B518" s="63"/>
      <c r="C518" s="34"/>
      <c r="D518" s="45" t="s">
        <v>242</v>
      </c>
      <c r="E518" s="43"/>
      <c r="F518" s="48"/>
      <c r="G518" s="49"/>
      <c r="H518" s="48"/>
      <c r="I518" s="47"/>
      <c r="J518" s="21"/>
    </row>
    <row r="519" spans="1:10" ht="25.5">
      <c r="A519" s="17"/>
      <c r="B519" s="29" t="s">
        <v>19</v>
      </c>
      <c r="C519" s="30">
        <v>5</v>
      </c>
      <c r="D519" s="54" t="s">
        <v>229</v>
      </c>
      <c r="E519" s="43">
        <v>4</v>
      </c>
      <c r="F519" s="29" t="s">
        <v>21</v>
      </c>
      <c r="G519" s="29">
        <v>1</v>
      </c>
      <c r="H519" s="29" t="s">
        <v>21</v>
      </c>
      <c r="I519" s="43">
        <v>9</v>
      </c>
      <c r="J519" s="34">
        <f>SUM(E519*I519/G519)</f>
        <v>36</v>
      </c>
    </row>
    <row r="520" spans="1:10" ht="76.5">
      <c r="A520" s="31"/>
      <c r="B520" s="63" t="s">
        <v>243</v>
      </c>
      <c r="C520" s="34">
        <v>6</v>
      </c>
      <c r="D520" s="54" t="s">
        <v>244</v>
      </c>
      <c r="E520" s="26">
        <v>1</v>
      </c>
      <c r="F520" s="17" t="s">
        <v>24</v>
      </c>
      <c r="G520" s="26">
        <v>1</v>
      </c>
      <c r="H520" s="17" t="s">
        <v>29</v>
      </c>
      <c r="I520" s="20">
        <v>2310</v>
      </c>
      <c r="J520" s="21">
        <f>SUM(E520*I520/G520)</f>
        <v>2310</v>
      </c>
    </row>
    <row r="521" spans="1:10" ht="38.25">
      <c r="A521" s="31"/>
      <c r="B521" s="63" t="s">
        <v>245</v>
      </c>
      <c r="C521" s="34">
        <v>7</v>
      </c>
      <c r="D521" s="18" t="s">
        <v>246</v>
      </c>
      <c r="E521" s="26">
        <v>1</v>
      </c>
      <c r="F521" s="17" t="s">
        <v>24</v>
      </c>
      <c r="G521" s="26">
        <v>1</v>
      </c>
      <c r="H521" s="17" t="s">
        <v>29</v>
      </c>
      <c r="I521" s="20">
        <v>620</v>
      </c>
      <c r="J521" s="21">
        <f>SUM(E521*I521/G521)</f>
        <v>620</v>
      </c>
    </row>
    <row r="522" spans="1:10" ht="25.5">
      <c r="A522" s="17"/>
      <c r="B522" s="29" t="s">
        <v>234</v>
      </c>
      <c r="C522" s="30">
        <v>2</v>
      </c>
      <c r="D522" s="54" t="s">
        <v>235</v>
      </c>
      <c r="E522" s="26">
        <v>6</v>
      </c>
      <c r="F522" s="17" t="s">
        <v>29</v>
      </c>
      <c r="G522" s="26">
        <v>1</v>
      </c>
      <c r="H522" s="17" t="s">
        <v>29</v>
      </c>
      <c r="I522" s="20">
        <v>340</v>
      </c>
      <c r="J522" s="35">
        <f>SUM(E522*I522/G522)</f>
        <v>2040</v>
      </c>
    </row>
    <row r="523" spans="1:10">
      <c r="A523" s="31"/>
      <c r="B523" s="63"/>
      <c r="C523" s="64"/>
      <c r="D523" s="18" t="s">
        <v>141</v>
      </c>
      <c r="E523" s="24"/>
      <c r="F523" s="25"/>
      <c r="G523" s="26"/>
      <c r="H523" s="25"/>
      <c r="I523" s="20"/>
      <c r="J523" s="21">
        <f>SUM(J520:J522)</f>
        <v>4970</v>
      </c>
    </row>
    <row r="524" spans="1:10">
      <c r="A524" s="31"/>
      <c r="B524" s="63"/>
      <c r="C524" s="64"/>
      <c r="D524" s="18" t="s">
        <v>35</v>
      </c>
      <c r="E524" s="24"/>
      <c r="F524" s="25"/>
      <c r="G524" s="26"/>
      <c r="H524" s="25"/>
      <c r="I524" s="20"/>
      <c r="J524" s="21">
        <f>J523+J517</f>
        <v>7332.5</v>
      </c>
    </row>
    <row r="525" spans="1:10">
      <c r="A525" s="17"/>
      <c r="B525" s="29"/>
      <c r="C525" s="30"/>
      <c r="D525" s="18" t="s">
        <v>36</v>
      </c>
      <c r="E525" s="24"/>
      <c r="F525" s="25"/>
      <c r="G525" s="26"/>
      <c r="H525" s="25"/>
      <c r="I525" s="20"/>
      <c r="J525" s="36">
        <f>(J524)*0.10615</f>
        <v>778.344875</v>
      </c>
    </row>
    <row r="526" spans="1:10">
      <c r="A526" s="17"/>
      <c r="B526" s="29"/>
      <c r="C526" s="30"/>
      <c r="D526" s="18" t="s">
        <v>37</v>
      </c>
      <c r="E526" s="24"/>
      <c r="F526" s="25"/>
      <c r="G526" s="26"/>
      <c r="H526" s="25"/>
      <c r="I526" s="20"/>
      <c r="J526" s="36">
        <f>SUM(J524:J525)</f>
        <v>8110.8448749999998</v>
      </c>
    </row>
    <row r="527" spans="1:10">
      <c r="A527" s="17"/>
      <c r="B527" s="29"/>
      <c r="C527" s="30"/>
      <c r="D527" s="18" t="s">
        <v>38</v>
      </c>
      <c r="E527" s="24"/>
      <c r="F527" s="25"/>
      <c r="G527" s="26"/>
      <c r="H527" s="25"/>
      <c r="I527" s="20"/>
      <c r="J527" s="37">
        <f>ROUND(J526,0)</f>
        <v>8111</v>
      </c>
    </row>
    <row r="528" spans="1:10">
      <c r="A528" s="38"/>
      <c r="B528" s="39"/>
      <c r="C528" s="40"/>
      <c r="D528" s="4" t="s">
        <v>631</v>
      </c>
      <c r="E528" s="41"/>
      <c r="F528" s="41"/>
      <c r="G528" s="41"/>
      <c r="H528" s="41"/>
      <c r="I528" s="41"/>
      <c r="J528" s="42"/>
    </row>
    <row r="529" spans="1:10">
      <c r="A529" s="17"/>
      <c r="B529" s="43"/>
      <c r="C529" s="47"/>
      <c r="D529" s="10" t="s">
        <v>1</v>
      </c>
      <c r="E529" s="43"/>
      <c r="F529" s="29"/>
      <c r="G529" s="49"/>
      <c r="H529" s="29"/>
      <c r="I529" s="43"/>
      <c r="J529" s="35"/>
    </row>
    <row r="530" spans="1:10" ht="114.75">
      <c r="A530" s="17"/>
      <c r="B530" s="43" t="s">
        <v>247</v>
      </c>
      <c r="C530" s="60"/>
      <c r="D530" s="13" t="s">
        <v>248</v>
      </c>
      <c r="E530" s="13"/>
      <c r="F530" s="13"/>
      <c r="G530" s="13"/>
      <c r="H530" s="13"/>
      <c r="I530" s="13"/>
      <c r="J530" s="16"/>
    </row>
    <row r="531" spans="1:10">
      <c r="A531" s="17"/>
      <c r="B531" s="121"/>
      <c r="C531" s="122"/>
      <c r="D531" s="44" t="s">
        <v>18</v>
      </c>
      <c r="E531" s="43"/>
      <c r="F531" s="48"/>
      <c r="G531" s="49"/>
      <c r="H531" s="48"/>
      <c r="I531" s="43"/>
      <c r="J531" s="35"/>
    </row>
    <row r="532" spans="1:10" ht="102">
      <c r="A532" s="17"/>
      <c r="B532" s="123" t="s">
        <v>249</v>
      </c>
      <c r="C532" s="124">
        <v>1</v>
      </c>
      <c r="D532" s="13" t="s">
        <v>250</v>
      </c>
      <c r="E532" s="43">
        <v>1</v>
      </c>
      <c r="F532" s="29" t="s">
        <v>29</v>
      </c>
      <c r="G532" s="49">
        <v>1</v>
      </c>
      <c r="H532" s="29" t="s">
        <v>29</v>
      </c>
      <c r="I532" s="24">
        <v>12735</v>
      </c>
      <c r="J532" s="35">
        <f>SUM(E532*I532/G532)</f>
        <v>12735</v>
      </c>
    </row>
    <row r="533" spans="1:10">
      <c r="A533" s="17"/>
      <c r="B533" s="29"/>
      <c r="C533" s="30"/>
      <c r="D533" s="45" t="s">
        <v>181</v>
      </c>
      <c r="E533" s="43"/>
      <c r="F533" s="29"/>
      <c r="G533" s="49"/>
      <c r="H533" s="29"/>
      <c r="I533" s="47"/>
      <c r="J533" s="21">
        <f>SUM(J532:J532)</f>
        <v>12735</v>
      </c>
    </row>
    <row r="534" spans="1:10">
      <c r="A534" s="17"/>
      <c r="B534" s="29"/>
      <c r="C534" s="30"/>
      <c r="D534" s="18" t="s">
        <v>36</v>
      </c>
      <c r="E534" s="24"/>
      <c r="F534" s="25"/>
      <c r="G534" s="26"/>
      <c r="H534" s="25"/>
      <c r="I534" s="20"/>
      <c r="J534" s="36">
        <f>(J533)*0.10615</f>
        <v>1351.82025</v>
      </c>
    </row>
    <row r="535" spans="1:10">
      <c r="A535" s="17"/>
      <c r="B535" s="29"/>
      <c r="C535" s="30"/>
      <c r="D535" s="18" t="s">
        <v>37</v>
      </c>
      <c r="E535" s="24"/>
      <c r="F535" s="25"/>
      <c r="G535" s="26"/>
      <c r="H535" s="25"/>
      <c r="I535" s="20"/>
      <c r="J535" s="36">
        <f>SUM(J533:J534)</f>
        <v>14086.820250000001</v>
      </c>
    </row>
    <row r="536" spans="1:10">
      <c r="A536" s="17"/>
      <c r="B536" s="29"/>
      <c r="C536" s="30"/>
      <c r="D536" s="18" t="s">
        <v>38</v>
      </c>
      <c r="E536" s="24"/>
      <c r="F536" s="25"/>
      <c r="G536" s="26"/>
      <c r="H536" s="25"/>
      <c r="I536" s="20"/>
      <c r="J536" s="37">
        <f>ROUND(J535,0)</f>
        <v>14087</v>
      </c>
    </row>
    <row r="537" spans="1:10">
      <c r="A537" s="38"/>
      <c r="B537" s="39"/>
      <c r="C537" s="40"/>
      <c r="D537" s="4" t="s">
        <v>251</v>
      </c>
      <c r="E537" s="41"/>
      <c r="F537" s="41"/>
      <c r="G537" s="41"/>
      <c r="H537" s="41"/>
      <c r="I537" s="41"/>
      <c r="J537" s="42"/>
    </row>
    <row r="538" spans="1:10">
      <c r="A538" s="17"/>
      <c r="B538" s="29"/>
      <c r="C538" s="30"/>
      <c r="D538" s="10" t="s">
        <v>1</v>
      </c>
      <c r="E538" s="43"/>
      <c r="F538" s="29"/>
      <c r="G538" s="49"/>
      <c r="H538" s="29"/>
      <c r="I538" s="43"/>
      <c r="J538" s="63"/>
    </row>
    <row r="539" spans="1:10" ht="63.75">
      <c r="A539" s="17"/>
      <c r="B539" s="88" t="s">
        <v>252</v>
      </c>
      <c r="C539" s="89"/>
      <c r="D539" s="44" t="s">
        <v>253</v>
      </c>
      <c r="E539" s="44"/>
      <c r="F539" s="44"/>
      <c r="G539" s="44"/>
      <c r="H539" s="44"/>
      <c r="I539" s="44"/>
      <c r="J539" s="16"/>
    </row>
    <row r="540" spans="1:10">
      <c r="A540" s="17"/>
      <c r="B540" s="29"/>
      <c r="C540" s="30"/>
      <c r="D540" s="45" t="s">
        <v>4</v>
      </c>
      <c r="E540" s="43"/>
      <c r="F540" s="29"/>
      <c r="G540" s="49"/>
      <c r="H540" s="29"/>
      <c r="I540" s="47"/>
      <c r="J540" s="21"/>
    </row>
    <row r="541" spans="1:10">
      <c r="A541" s="17"/>
      <c r="B541" s="29"/>
      <c r="C541" s="30">
        <v>1</v>
      </c>
      <c r="D541" s="23" t="s">
        <v>9</v>
      </c>
      <c r="E541" s="24">
        <v>0.34</v>
      </c>
      <c r="F541" s="48" t="s">
        <v>10</v>
      </c>
      <c r="G541" s="49">
        <v>1</v>
      </c>
      <c r="H541" s="48" t="s">
        <v>10</v>
      </c>
      <c r="I541" s="20">
        <v>775</v>
      </c>
      <c r="J541" s="21">
        <f>SUM(E541*I541/G541)</f>
        <v>263.5</v>
      </c>
    </row>
    <row r="542" spans="1:10" ht="25.5">
      <c r="A542" s="17"/>
      <c r="B542" s="29"/>
      <c r="C542" s="30">
        <v>2</v>
      </c>
      <c r="D542" s="27" t="s">
        <v>11</v>
      </c>
      <c r="E542" s="24">
        <v>1</v>
      </c>
      <c r="F542" s="48" t="s">
        <v>10</v>
      </c>
      <c r="G542" s="49">
        <v>1</v>
      </c>
      <c r="H542" s="48" t="s">
        <v>10</v>
      </c>
      <c r="I542" s="20">
        <v>650</v>
      </c>
      <c r="J542" s="21">
        <f>SUM(E542*I542/G542)</f>
        <v>650</v>
      </c>
    </row>
    <row r="543" spans="1:10">
      <c r="A543" s="17"/>
      <c r="B543" s="29"/>
      <c r="C543" s="30">
        <v>3</v>
      </c>
      <c r="D543" s="27" t="s">
        <v>12</v>
      </c>
      <c r="E543" s="24">
        <v>0.34</v>
      </c>
      <c r="F543" s="25" t="s">
        <v>10</v>
      </c>
      <c r="G543" s="26">
        <v>1</v>
      </c>
      <c r="H543" s="25" t="s">
        <v>10</v>
      </c>
      <c r="I543" s="20">
        <v>650</v>
      </c>
      <c r="J543" s="21">
        <f>SUM(E543*I543/G543)</f>
        <v>221.00000000000003</v>
      </c>
    </row>
    <row r="544" spans="1:10">
      <c r="A544" s="17"/>
      <c r="B544" s="29"/>
      <c r="C544" s="30"/>
      <c r="D544" s="45" t="s">
        <v>198</v>
      </c>
      <c r="E544" s="43"/>
      <c r="F544" s="48"/>
      <c r="G544" s="49"/>
      <c r="H544" s="48"/>
      <c r="I544" s="20"/>
      <c r="J544" s="21">
        <f>SUM(J541:J543)</f>
        <v>1134.5</v>
      </c>
    </row>
    <row r="545" spans="1:10">
      <c r="A545" s="17"/>
      <c r="B545" s="29"/>
      <c r="C545" s="30"/>
      <c r="D545" s="45" t="s">
        <v>199</v>
      </c>
      <c r="E545" s="49"/>
      <c r="F545" s="48"/>
      <c r="G545" s="49"/>
      <c r="H545" s="48"/>
      <c r="I545" s="47"/>
      <c r="J545" s="21">
        <f>SUM(J544/100)</f>
        <v>11.345000000000001</v>
      </c>
    </row>
    <row r="546" spans="1:10">
      <c r="A546" s="17"/>
      <c r="B546" s="29"/>
      <c r="C546" s="30"/>
      <c r="D546" s="44" t="s">
        <v>43</v>
      </c>
      <c r="E546" s="50"/>
      <c r="F546" s="29"/>
      <c r="G546" s="49"/>
      <c r="H546" s="29"/>
      <c r="I546" s="47"/>
      <c r="J546" s="21">
        <f>J545*0.4</f>
        <v>4.5380000000000003</v>
      </c>
    </row>
    <row r="547" spans="1:10">
      <c r="A547" s="17"/>
      <c r="B547" s="29"/>
      <c r="C547" s="30"/>
      <c r="D547" s="44" t="s">
        <v>44</v>
      </c>
      <c r="E547" s="50"/>
      <c r="F547" s="29"/>
      <c r="G547" s="49"/>
      <c r="H547" s="29"/>
      <c r="I547" s="47"/>
      <c r="J547" s="21">
        <f>SUM(J545:J546)</f>
        <v>15.883000000000001</v>
      </c>
    </row>
    <row r="548" spans="1:10">
      <c r="A548" s="17"/>
      <c r="B548" s="29"/>
      <c r="C548" s="30"/>
      <c r="D548" s="45" t="s">
        <v>18</v>
      </c>
      <c r="E548" s="43"/>
      <c r="F548" s="48"/>
      <c r="G548" s="49"/>
      <c r="H548" s="48"/>
      <c r="I548" s="47"/>
      <c r="J548" s="21"/>
    </row>
    <row r="549" spans="1:10" ht="38.25">
      <c r="A549" s="17"/>
      <c r="B549" s="56" t="s">
        <v>62</v>
      </c>
      <c r="C549" s="30">
        <v>4</v>
      </c>
      <c r="D549" s="57" t="s">
        <v>84</v>
      </c>
      <c r="E549" s="43">
        <v>100</v>
      </c>
      <c r="F549" s="48" t="s">
        <v>64</v>
      </c>
      <c r="G549" s="49">
        <v>100</v>
      </c>
      <c r="H549" s="48" t="s">
        <v>32</v>
      </c>
      <c r="I549" s="34">
        <v>2530</v>
      </c>
      <c r="J549" s="21">
        <f>I549*E549/G549</f>
        <v>2530</v>
      </c>
    </row>
    <row r="550" spans="1:10">
      <c r="A550" s="17"/>
      <c r="B550" s="29"/>
      <c r="C550" s="30"/>
      <c r="D550" s="45" t="s">
        <v>202</v>
      </c>
      <c r="E550" s="43"/>
      <c r="F550" s="29"/>
      <c r="G550" s="49"/>
      <c r="H550" s="29"/>
      <c r="I550" s="47"/>
      <c r="J550" s="21">
        <f>SUM(J549:J549)</f>
        <v>2530</v>
      </c>
    </row>
    <row r="551" spans="1:10">
      <c r="A551" s="17"/>
      <c r="B551" s="29"/>
      <c r="C551" s="30"/>
      <c r="D551" s="45" t="s">
        <v>203</v>
      </c>
      <c r="E551" s="43"/>
      <c r="F551" s="29"/>
      <c r="G551" s="49"/>
      <c r="H551" s="29"/>
      <c r="I551" s="47"/>
      <c r="J551" s="21">
        <f>SUM(J550/100)</f>
        <v>25.3</v>
      </c>
    </row>
    <row r="552" spans="1:10">
      <c r="A552" s="17"/>
      <c r="B552" s="29"/>
      <c r="C552" s="30"/>
      <c r="D552" s="45" t="s">
        <v>35</v>
      </c>
      <c r="E552" s="43"/>
      <c r="F552" s="29"/>
      <c r="G552" s="49"/>
      <c r="H552" s="29"/>
      <c r="I552" s="62"/>
      <c r="J552" s="21">
        <f>J551+J547</f>
        <v>41.183</v>
      </c>
    </row>
    <row r="553" spans="1:10">
      <c r="A553" s="17"/>
      <c r="B553" s="29"/>
      <c r="C553" s="30"/>
      <c r="D553" s="18" t="s">
        <v>36</v>
      </c>
      <c r="E553" s="43"/>
      <c r="F553" s="29"/>
      <c r="G553" s="49"/>
      <c r="H553" s="29"/>
      <c r="I553" s="62"/>
      <c r="J553" s="21">
        <f>J552*10.615%</f>
        <v>4.3715754499999999</v>
      </c>
    </row>
    <row r="554" spans="1:10">
      <c r="A554" s="17"/>
      <c r="B554" s="29"/>
      <c r="C554" s="30"/>
      <c r="D554" s="45"/>
      <c r="E554" s="43"/>
      <c r="F554" s="29"/>
      <c r="G554" s="49"/>
      <c r="H554" s="29"/>
      <c r="I554" s="62"/>
      <c r="J554" s="21">
        <f>SUM(J552:J553)</f>
        <v>45.554575450000002</v>
      </c>
    </row>
    <row r="555" spans="1:10">
      <c r="A555" s="17"/>
      <c r="B555" s="17"/>
      <c r="C555" s="31"/>
      <c r="D555" s="18" t="s">
        <v>182</v>
      </c>
      <c r="E555" s="24"/>
      <c r="F555" s="25"/>
      <c r="G555" s="26"/>
      <c r="H555" s="25"/>
      <c r="I555" s="20"/>
      <c r="J555" s="21">
        <f>ROUND(J554,0)</f>
        <v>46</v>
      </c>
    </row>
    <row r="556" spans="1:10">
      <c r="A556" s="38"/>
      <c r="B556" s="39"/>
      <c r="C556" s="40"/>
      <c r="D556" s="4" t="s">
        <v>254</v>
      </c>
      <c r="E556" s="41"/>
      <c r="F556" s="41"/>
      <c r="G556" s="41"/>
      <c r="H556" s="41"/>
      <c r="I556" s="41"/>
      <c r="J556" s="42"/>
    </row>
    <row r="557" spans="1:10">
      <c r="A557" s="17"/>
      <c r="B557" s="63"/>
      <c r="C557" s="64"/>
      <c r="D557" s="10" t="s">
        <v>1</v>
      </c>
      <c r="E557" s="17"/>
      <c r="F557" s="17"/>
      <c r="G557" s="17"/>
      <c r="H557" s="31"/>
      <c r="I557" s="20"/>
      <c r="J557" s="34"/>
    </row>
    <row r="558" spans="1:10" ht="89.25">
      <c r="A558" s="17"/>
      <c r="B558" s="125"/>
      <c r="C558" s="22"/>
      <c r="D558" s="44" t="s">
        <v>255</v>
      </c>
      <c r="E558" s="44"/>
      <c r="F558" s="44"/>
      <c r="G558" s="44"/>
      <c r="H558" s="44"/>
      <c r="I558" s="44"/>
      <c r="J558" s="16"/>
    </row>
    <row r="559" spans="1:10" ht="102">
      <c r="A559" s="17"/>
      <c r="B559" s="125" t="s">
        <v>256</v>
      </c>
      <c r="C559" s="22">
        <v>1</v>
      </c>
      <c r="D559" s="18" t="s">
        <v>257</v>
      </c>
      <c r="E559" s="26">
        <v>1</v>
      </c>
      <c r="F559" s="17" t="s">
        <v>24</v>
      </c>
      <c r="G559" s="26">
        <v>1</v>
      </c>
      <c r="H559" s="17" t="s">
        <v>24</v>
      </c>
      <c r="I559" s="20">
        <v>9550</v>
      </c>
      <c r="J559" s="21">
        <f>SUM(E559*I559/G559)</f>
        <v>9550</v>
      </c>
    </row>
    <row r="560" spans="1:10">
      <c r="A560" s="17"/>
      <c r="B560" s="26"/>
      <c r="C560" s="22"/>
      <c r="D560" s="45" t="s">
        <v>258</v>
      </c>
      <c r="E560" s="24"/>
      <c r="F560" s="17"/>
      <c r="G560" s="126"/>
      <c r="H560" s="17"/>
      <c r="I560" s="20"/>
      <c r="J560" s="21">
        <f>SUM(J559:J559)</f>
        <v>9550</v>
      </c>
    </row>
    <row r="561" spans="1:10">
      <c r="A561" s="17"/>
      <c r="B561" s="26"/>
      <c r="C561" s="22"/>
      <c r="D561" s="18" t="s">
        <v>36</v>
      </c>
      <c r="E561" s="43"/>
      <c r="F561" s="29"/>
      <c r="G561" s="49"/>
      <c r="H561" s="29"/>
      <c r="I561" s="62"/>
      <c r="J561" s="21">
        <f>J560*10.615%</f>
        <v>1013.7325000000001</v>
      </c>
    </row>
    <row r="562" spans="1:10">
      <c r="A562" s="17"/>
      <c r="B562" s="26"/>
      <c r="C562" s="22"/>
      <c r="D562" s="45" t="s">
        <v>259</v>
      </c>
      <c r="E562" s="43"/>
      <c r="F562" s="29"/>
      <c r="G562" s="49"/>
      <c r="H562" s="29"/>
      <c r="I562" s="62"/>
      <c r="J562" s="21">
        <f>SUM(J560:J561)</f>
        <v>10563.7325</v>
      </c>
    </row>
    <row r="563" spans="1:10">
      <c r="A563" s="17"/>
      <c r="B563" s="26"/>
      <c r="C563" s="22"/>
      <c r="D563" s="18" t="s">
        <v>182</v>
      </c>
      <c r="E563" s="24"/>
      <c r="F563" s="25"/>
      <c r="G563" s="26"/>
      <c r="H563" s="25"/>
      <c r="I563" s="20"/>
      <c r="J563" s="21">
        <f>ROUND(J562,0)</f>
        <v>10564</v>
      </c>
    </row>
    <row r="564" spans="1:10">
      <c r="A564" s="38"/>
      <c r="B564" s="39"/>
      <c r="C564" s="40"/>
      <c r="D564" s="4" t="s">
        <v>260</v>
      </c>
      <c r="E564" s="41"/>
      <c r="F564" s="41"/>
      <c r="G564" s="41"/>
      <c r="H564" s="41"/>
      <c r="I564" s="41"/>
      <c r="J564" s="42"/>
    </row>
    <row r="565" spans="1:10">
      <c r="A565" s="17"/>
      <c r="B565" s="29"/>
      <c r="C565" s="30"/>
      <c r="D565" s="10" t="s">
        <v>1</v>
      </c>
      <c r="E565" s="127"/>
      <c r="F565" s="126"/>
      <c r="G565" s="127"/>
      <c r="H565" s="30"/>
      <c r="I565" s="62"/>
      <c r="J565" s="21"/>
    </row>
    <row r="566" spans="1:10" ht="38.25">
      <c r="A566" s="17"/>
      <c r="B566" s="29" t="s">
        <v>261</v>
      </c>
      <c r="C566" s="30"/>
      <c r="D566" s="44" t="s">
        <v>262</v>
      </c>
      <c r="E566" s="44"/>
      <c r="F566" s="44"/>
      <c r="G566" s="44"/>
      <c r="H566" s="44"/>
      <c r="I566" s="44"/>
      <c r="J566" s="16"/>
    </row>
    <row r="567" spans="1:10">
      <c r="A567" s="17"/>
      <c r="B567" s="63"/>
      <c r="C567" s="64"/>
      <c r="D567" s="45" t="s">
        <v>4</v>
      </c>
      <c r="E567" s="43"/>
      <c r="F567" s="29"/>
      <c r="G567" s="49"/>
      <c r="H567" s="29"/>
      <c r="I567" s="47"/>
      <c r="J567" s="21"/>
    </row>
    <row r="568" spans="1:10">
      <c r="A568" s="17"/>
      <c r="B568" s="63"/>
      <c r="C568" s="64">
        <v>1</v>
      </c>
      <c r="D568" s="27" t="s">
        <v>12</v>
      </c>
      <c r="E568" s="24">
        <v>2</v>
      </c>
      <c r="F568" s="25" t="s">
        <v>10</v>
      </c>
      <c r="G568" s="26">
        <v>1</v>
      </c>
      <c r="H568" s="25" t="s">
        <v>10</v>
      </c>
      <c r="I568" s="20">
        <v>650</v>
      </c>
      <c r="J568" s="21">
        <f>SUM(E568*I568/G568)</f>
        <v>1300</v>
      </c>
    </row>
    <row r="569" spans="1:10">
      <c r="A569" s="17"/>
      <c r="B569" s="63"/>
      <c r="C569" s="64"/>
      <c r="D569" s="45" t="s">
        <v>263</v>
      </c>
      <c r="E569" s="43"/>
      <c r="F569" s="48"/>
      <c r="G569" s="49"/>
      <c r="H569" s="48"/>
      <c r="I569" s="47"/>
      <c r="J569" s="21">
        <f>SUM(J568:J568)</f>
        <v>1300</v>
      </c>
    </row>
    <row r="570" spans="1:10">
      <c r="A570" s="17"/>
      <c r="B570" s="63"/>
      <c r="C570" s="64"/>
      <c r="D570" s="45" t="s">
        <v>199</v>
      </c>
      <c r="E570" s="49"/>
      <c r="F570" s="48"/>
      <c r="G570" s="49"/>
      <c r="H570" s="48"/>
      <c r="I570" s="47"/>
      <c r="J570" s="21">
        <f>SUM(J569/100)</f>
        <v>13</v>
      </c>
    </row>
    <row r="571" spans="1:10">
      <c r="A571" s="17"/>
      <c r="B571" s="63"/>
      <c r="C571" s="64"/>
      <c r="D571" s="45" t="s">
        <v>264</v>
      </c>
      <c r="E571" s="43"/>
      <c r="F571" s="48"/>
      <c r="G571" s="49"/>
      <c r="H571" s="48"/>
      <c r="I571" s="47"/>
      <c r="J571" s="21">
        <f>J570</f>
        <v>13</v>
      </c>
    </row>
    <row r="572" spans="1:10">
      <c r="A572" s="17"/>
      <c r="B572" s="63"/>
      <c r="C572" s="64"/>
      <c r="D572" s="44" t="s">
        <v>43</v>
      </c>
      <c r="E572" s="31"/>
      <c r="F572" s="17"/>
      <c r="G572" s="26"/>
      <c r="H572" s="17"/>
      <c r="I572" s="20"/>
      <c r="J572" s="21">
        <f>J571*0.4</f>
        <v>5.2</v>
      </c>
    </row>
    <row r="573" spans="1:10">
      <c r="A573" s="17"/>
      <c r="B573" s="63"/>
      <c r="C573" s="64"/>
      <c r="D573" s="13" t="s">
        <v>17</v>
      </c>
      <c r="E573" s="31"/>
      <c r="F573" s="17"/>
      <c r="G573" s="26"/>
      <c r="H573" s="17"/>
      <c r="I573" s="20"/>
      <c r="J573" s="21">
        <f>SUM(J571:J572)</f>
        <v>18.2</v>
      </c>
    </row>
    <row r="574" spans="1:10">
      <c r="A574" s="17"/>
      <c r="B574" s="63"/>
      <c r="C574" s="64"/>
      <c r="D574" s="45" t="s">
        <v>18</v>
      </c>
      <c r="E574" s="43"/>
      <c r="F574" s="48"/>
      <c r="G574" s="49"/>
      <c r="H574" s="48"/>
      <c r="I574" s="47"/>
      <c r="J574" s="21"/>
    </row>
    <row r="575" spans="1:10" ht="22.5">
      <c r="A575" s="63"/>
      <c r="B575" s="128" t="s">
        <v>265</v>
      </c>
      <c r="C575" s="64">
        <v>2</v>
      </c>
      <c r="D575" s="57" t="s">
        <v>266</v>
      </c>
      <c r="E575" s="35">
        <v>10.4</v>
      </c>
      <c r="F575" s="63" t="s">
        <v>267</v>
      </c>
      <c r="G575" s="129">
        <v>1</v>
      </c>
      <c r="H575" s="63" t="s">
        <v>21</v>
      </c>
      <c r="I575" s="21">
        <v>119</v>
      </c>
      <c r="J575" s="21">
        <f>SUM(E575*I575/G575)</f>
        <v>1237.6000000000001</v>
      </c>
    </row>
    <row r="576" spans="1:10" ht="22.5">
      <c r="A576" s="17"/>
      <c r="B576" s="125" t="s">
        <v>268</v>
      </c>
      <c r="C576" s="64">
        <v>3</v>
      </c>
      <c r="D576" s="33" t="s">
        <v>269</v>
      </c>
      <c r="E576" s="24">
        <v>1.5</v>
      </c>
      <c r="F576" s="25" t="s">
        <v>24</v>
      </c>
      <c r="G576" s="26">
        <v>100</v>
      </c>
      <c r="H576" s="25" t="s">
        <v>24</v>
      </c>
      <c r="I576" s="20">
        <v>44</v>
      </c>
      <c r="J576" s="21">
        <f>SUM(E576*I576/G576)</f>
        <v>0.66</v>
      </c>
    </row>
    <row r="577" spans="1:10">
      <c r="A577" s="17"/>
      <c r="B577" s="63"/>
      <c r="C577" s="64"/>
      <c r="D577" s="45" t="s">
        <v>202</v>
      </c>
      <c r="E577" s="43"/>
      <c r="F577" s="29"/>
      <c r="G577" s="49"/>
      <c r="H577" s="29"/>
      <c r="I577" s="47"/>
      <c r="J577" s="21">
        <f>SUM(J575:J576)</f>
        <v>1238.2600000000002</v>
      </c>
    </row>
    <row r="578" spans="1:10">
      <c r="A578" s="17"/>
      <c r="B578" s="63"/>
      <c r="C578" s="64"/>
      <c r="D578" s="45" t="s">
        <v>203</v>
      </c>
      <c r="E578" s="43"/>
      <c r="F578" s="29"/>
      <c r="G578" s="49"/>
      <c r="H578" s="29"/>
      <c r="I578" s="47"/>
      <c r="J578" s="21">
        <f>SUM(J577/100)</f>
        <v>12.382600000000002</v>
      </c>
    </row>
    <row r="579" spans="1:10">
      <c r="A579" s="17"/>
      <c r="B579" s="63"/>
      <c r="C579" s="64"/>
      <c r="D579" s="45" t="s">
        <v>35</v>
      </c>
      <c r="E579" s="43"/>
      <c r="F579" s="29"/>
      <c r="G579" s="49"/>
      <c r="H579" s="29"/>
      <c r="I579" s="62"/>
      <c r="J579" s="21">
        <f>J578+J573</f>
        <v>30.582599999999999</v>
      </c>
    </row>
    <row r="580" spans="1:10">
      <c r="A580" s="17"/>
      <c r="B580" s="63"/>
      <c r="C580" s="64"/>
      <c r="D580" s="18" t="s">
        <v>36</v>
      </c>
      <c r="E580" s="43"/>
      <c r="F580" s="29"/>
      <c r="G580" s="49"/>
      <c r="H580" s="29"/>
      <c r="I580" s="62"/>
      <c r="J580" s="21">
        <f>J579*10.615%</f>
        <v>3.24634299</v>
      </c>
    </row>
    <row r="581" spans="1:10">
      <c r="A581" s="17"/>
      <c r="B581" s="63"/>
      <c r="C581" s="64"/>
      <c r="D581" s="45" t="s">
        <v>270</v>
      </c>
      <c r="E581" s="43"/>
      <c r="F581" s="29"/>
      <c r="G581" s="49"/>
      <c r="H581" s="29"/>
      <c r="I581" s="62"/>
      <c r="J581" s="21">
        <f>SUM(J579:J580)</f>
        <v>33.828942990000002</v>
      </c>
    </row>
    <row r="582" spans="1:10">
      <c r="A582" s="17"/>
      <c r="B582" s="63"/>
      <c r="C582" s="64"/>
      <c r="D582" s="18" t="s">
        <v>182</v>
      </c>
      <c r="E582" s="24"/>
      <c r="F582" s="25"/>
      <c r="G582" s="26"/>
      <c r="H582" s="25"/>
      <c r="I582" s="20"/>
      <c r="J582" s="21">
        <f>ROUND(J581,0)</f>
        <v>34</v>
      </c>
    </row>
    <row r="583" spans="1:10" ht="28.5">
      <c r="A583" s="130"/>
      <c r="B583" s="130"/>
      <c r="C583" s="131"/>
      <c r="D583" s="132" t="s">
        <v>271</v>
      </c>
      <c r="E583" s="130"/>
      <c r="F583" s="130"/>
      <c r="G583" s="130"/>
      <c r="H583" s="130"/>
      <c r="I583" s="130"/>
      <c r="J583" s="133"/>
    </row>
    <row r="584" spans="1:10">
      <c r="A584" s="17"/>
      <c r="B584" s="63"/>
      <c r="C584" s="64"/>
      <c r="D584" s="10" t="s">
        <v>1</v>
      </c>
      <c r="E584" s="63"/>
      <c r="F584" s="63"/>
      <c r="G584" s="63"/>
      <c r="H584" s="63"/>
      <c r="I584" s="63"/>
      <c r="J584" s="63"/>
    </row>
    <row r="585" spans="1:10" ht="63.75">
      <c r="A585" s="17"/>
      <c r="B585" s="43" t="s">
        <v>247</v>
      </c>
      <c r="C585" s="60"/>
      <c r="D585" s="27" t="s">
        <v>272</v>
      </c>
      <c r="E585" s="17"/>
      <c r="F585" s="17"/>
      <c r="G585" s="17"/>
      <c r="H585" s="17"/>
      <c r="I585" s="17"/>
      <c r="J585" s="63"/>
    </row>
    <row r="586" spans="1:10">
      <c r="A586" s="17"/>
      <c r="B586" s="43"/>
      <c r="C586" s="122"/>
      <c r="D586" s="44" t="s">
        <v>18</v>
      </c>
      <c r="E586" s="43"/>
      <c r="F586" s="48"/>
      <c r="G586" s="49"/>
      <c r="H586" s="48"/>
      <c r="I586" s="43"/>
      <c r="J586" s="35"/>
    </row>
    <row r="587" spans="1:10" ht="63.75">
      <c r="A587" s="17"/>
      <c r="B587" s="43" t="s">
        <v>273</v>
      </c>
      <c r="C587" s="124">
        <v>1</v>
      </c>
      <c r="D587" s="27" t="s">
        <v>274</v>
      </c>
      <c r="E587" s="43">
        <v>1</v>
      </c>
      <c r="F587" s="29" t="s">
        <v>24</v>
      </c>
      <c r="G587" s="49">
        <v>1</v>
      </c>
      <c r="H587" s="29" t="s">
        <v>24</v>
      </c>
      <c r="I587" s="24">
        <v>2400</v>
      </c>
      <c r="J587" s="35">
        <f>SUM(E587*I587/G587)</f>
        <v>2400</v>
      </c>
    </row>
    <row r="588" spans="1:10">
      <c r="A588" s="17"/>
      <c r="B588" s="43"/>
      <c r="C588" s="30"/>
      <c r="D588" s="45" t="s">
        <v>181</v>
      </c>
      <c r="E588" s="43"/>
      <c r="F588" s="29"/>
      <c r="G588" s="49"/>
      <c r="H588" s="29"/>
      <c r="I588" s="47"/>
      <c r="J588" s="21">
        <f>SUM(J587:J587)</f>
        <v>2400</v>
      </c>
    </row>
    <row r="589" spans="1:10">
      <c r="A589" s="17"/>
      <c r="B589" s="63"/>
      <c r="C589" s="64"/>
      <c r="D589" s="18" t="s">
        <v>36</v>
      </c>
      <c r="E589" s="43"/>
      <c r="F589" s="29"/>
      <c r="G589" s="49"/>
      <c r="H589" s="29"/>
      <c r="I589" s="62"/>
      <c r="J589" s="21">
        <f>J588*10.615%</f>
        <v>254.76000000000002</v>
      </c>
    </row>
    <row r="590" spans="1:10">
      <c r="A590" s="17"/>
      <c r="B590" s="63"/>
      <c r="C590" s="64"/>
      <c r="D590" s="45" t="s">
        <v>275</v>
      </c>
      <c r="E590" s="43"/>
      <c r="F590" s="29"/>
      <c r="G590" s="49"/>
      <c r="H590" s="29"/>
      <c r="I590" s="62"/>
      <c r="J590" s="21">
        <f>SUM(J588:J589)</f>
        <v>2654.76</v>
      </c>
    </row>
    <row r="591" spans="1:10">
      <c r="A591" s="17"/>
      <c r="B591" s="63"/>
      <c r="C591" s="64"/>
      <c r="D591" s="18" t="s">
        <v>182</v>
      </c>
      <c r="E591" s="24"/>
      <c r="F591" s="25"/>
      <c r="G591" s="26"/>
      <c r="H591" s="25"/>
      <c r="I591" s="20"/>
      <c r="J591" s="21">
        <f>ROUND(J590,0)</f>
        <v>2655</v>
      </c>
    </row>
    <row r="592" spans="1:10" ht="28.5">
      <c r="A592" s="130"/>
      <c r="B592" s="130"/>
      <c r="C592" s="131"/>
      <c r="D592" s="132" t="s">
        <v>276</v>
      </c>
      <c r="E592" s="130"/>
      <c r="F592" s="130"/>
      <c r="G592" s="130"/>
      <c r="H592" s="130"/>
      <c r="I592" s="130"/>
      <c r="J592" s="133"/>
    </row>
    <row r="593" spans="1:10">
      <c r="A593" s="17"/>
      <c r="B593" s="63"/>
      <c r="C593" s="64"/>
      <c r="D593" s="10" t="s">
        <v>1</v>
      </c>
      <c r="E593" s="63"/>
      <c r="F593" s="63"/>
      <c r="G593" s="63"/>
      <c r="H593" s="63"/>
      <c r="I593" s="63"/>
      <c r="J593" s="63"/>
    </row>
    <row r="594" spans="1:10" ht="51">
      <c r="A594" s="17"/>
      <c r="B594" s="43" t="s">
        <v>247</v>
      </c>
      <c r="C594" s="60"/>
      <c r="D594" s="27" t="s">
        <v>277</v>
      </c>
      <c r="E594" s="17"/>
      <c r="F594" s="17"/>
      <c r="G594" s="17"/>
      <c r="H594" s="17"/>
      <c r="I594" s="17"/>
      <c r="J594" s="63"/>
    </row>
    <row r="595" spans="1:10">
      <c r="A595" s="17"/>
      <c r="B595" s="43"/>
      <c r="C595" s="122"/>
      <c r="D595" s="44" t="s">
        <v>18</v>
      </c>
      <c r="E595" s="43"/>
      <c r="F595" s="48"/>
      <c r="G595" s="49"/>
      <c r="H595" s="48"/>
      <c r="I595" s="43"/>
      <c r="J595" s="35"/>
    </row>
    <row r="596" spans="1:10" ht="38.25">
      <c r="A596" s="17"/>
      <c r="B596" s="43" t="s">
        <v>278</v>
      </c>
      <c r="C596" s="124">
        <v>1</v>
      </c>
      <c r="D596" s="27" t="s">
        <v>279</v>
      </c>
      <c r="E596" s="43">
        <v>1</v>
      </c>
      <c r="F596" s="29" t="s">
        <v>24</v>
      </c>
      <c r="G596" s="49">
        <v>1</v>
      </c>
      <c r="H596" s="29" t="s">
        <v>24</v>
      </c>
      <c r="I596" s="24">
        <v>20265</v>
      </c>
      <c r="J596" s="35">
        <f>SUM(E596*I596/G596)</f>
        <v>20265</v>
      </c>
    </row>
    <row r="597" spans="1:10">
      <c r="A597" s="17"/>
      <c r="B597" s="43"/>
      <c r="C597" s="30"/>
      <c r="D597" s="45" t="s">
        <v>181</v>
      </c>
      <c r="E597" s="43"/>
      <c r="F597" s="29"/>
      <c r="G597" s="49"/>
      <c r="H597" s="29"/>
      <c r="I597" s="47"/>
      <c r="J597" s="21">
        <f>SUM(J596:J596)</f>
        <v>20265</v>
      </c>
    </row>
    <row r="598" spans="1:10">
      <c r="A598" s="17"/>
      <c r="B598" s="63"/>
      <c r="C598" s="64"/>
      <c r="D598" s="18" t="s">
        <v>36</v>
      </c>
      <c r="E598" s="43"/>
      <c r="F598" s="29"/>
      <c r="G598" s="49"/>
      <c r="H598" s="29"/>
      <c r="I598" s="62"/>
      <c r="J598" s="21">
        <f>J597*10.615%</f>
        <v>2151.1297500000001</v>
      </c>
    </row>
    <row r="599" spans="1:10">
      <c r="A599" s="17"/>
      <c r="B599" s="63"/>
      <c r="C599" s="64"/>
      <c r="D599" s="45" t="s">
        <v>275</v>
      </c>
      <c r="E599" s="43"/>
      <c r="F599" s="29"/>
      <c r="G599" s="49"/>
      <c r="H599" s="29"/>
      <c r="I599" s="62"/>
      <c r="J599" s="21">
        <f>SUM(J597:J598)</f>
        <v>22416.12975</v>
      </c>
    </row>
    <row r="600" spans="1:10">
      <c r="A600" s="17"/>
      <c r="B600" s="63"/>
      <c r="C600" s="64"/>
      <c r="D600" s="18" t="s">
        <v>182</v>
      </c>
      <c r="E600" s="24"/>
      <c r="F600" s="25"/>
      <c r="G600" s="26"/>
      <c r="H600" s="25"/>
      <c r="I600" s="20"/>
      <c r="J600" s="21">
        <f>ROUND(J599,0)</f>
        <v>22416</v>
      </c>
    </row>
    <row r="601" spans="1:10" ht="23.25">
      <c r="A601" s="130"/>
      <c r="B601" s="130"/>
      <c r="C601" s="131"/>
      <c r="D601" s="132" t="s">
        <v>280</v>
      </c>
      <c r="E601" s="130"/>
      <c r="F601" s="130"/>
      <c r="G601" s="130"/>
      <c r="H601" s="130"/>
      <c r="I601" s="130"/>
      <c r="J601" s="133"/>
    </row>
    <row r="602" spans="1:10">
      <c r="A602" s="17"/>
      <c r="B602" s="63"/>
      <c r="C602" s="64"/>
      <c r="D602" s="10" t="s">
        <v>1</v>
      </c>
      <c r="E602" s="63"/>
      <c r="F602" s="63"/>
      <c r="G602" s="63"/>
      <c r="H602" s="63"/>
      <c r="I602" s="63"/>
      <c r="J602" s="63"/>
    </row>
    <row r="603" spans="1:10" ht="51">
      <c r="A603" s="17"/>
      <c r="B603" s="43" t="s">
        <v>247</v>
      </c>
      <c r="C603" s="60"/>
      <c r="D603" s="27" t="s">
        <v>281</v>
      </c>
      <c r="E603" s="17"/>
      <c r="F603" s="17"/>
      <c r="G603" s="17"/>
      <c r="H603" s="17"/>
      <c r="I603" s="17"/>
      <c r="J603" s="63"/>
    </row>
    <row r="604" spans="1:10">
      <c r="A604" s="17"/>
      <c r="B604" s="43"/>
      <c r="C604" s="122"/>
      <c r="D604" s="44" t="s">
        <v>18</v>
      </c>
      <c r="E604" s="43"/>
      <c r="F604" s="48"/>
      <c r="G604" s="49"/>
      <c r="H604" s="48"/>
      <c r="I604" s="43"/>
      <c r="J604" s="35"/>
    </row>
    <row r="605" spans="1:10" ht="38.25">
      <c r="A605" s="17"/>
      <c r="B605" s="43" t="s">
        <v>282</v>
      </c>
      <c r="C605" s="124">
        <v>1</v>
      </c>
      <c r="D605" s="27" t="s">
        <v>283</v>
      </c>
      <c r="E605" s="43">
        <v>1</v>
      </c>
      <c r="F605" s="29" t="s">
        <v>24</v>
      </c>
      <c r="G605" s="49">
        <v>1</v>
      </c>
      <c r="H605" s="29" t="s">
        <v>24</v>
      </c>
      <c r="I605" s="24">
        <v>21000</v>
      </c>
      <c r="J605" s="35">
        <f>SUM(E605*I605/G605)</f>
        <v>21000</v>
      </c>
    </row>
    <row r="606" spans="1:10">
      <c r="A606" s="17"/>
      <c r="B606" s="43"/>
      <c r="C606" s="30"/>
      <c r="D606" s="45" t="s">
        <v>181</v>
      </c>
      <c r="E606" s="43"/>
      <c r="F606" s="29"/>
      <c r="G606" s="49"/>
      <c r="H606" s="29"/>
      <c r="I606" s="47"/>
      <c r="J606" s="21">
        <f>SUM(J605:J605)</f>
        <v>21000</v>
      </c>
    </row>
    <row r="607" spans="1:10">
      <c r="A607" s="17"/>
      <c r="B607" s="63"/>
      <c r="C607" s="64"/>
      <c r="D607" s="18" t="s">
        <v>36</v>
      </c>
      <c r="E607" s="43"/>
      <c r="F607" s="29"/>
      <c r="G607" s="49"/>
      <c r="H607" s="29"/>
      <c r="I607" s="62"/>
      <c r="J607" s="21">
        <f>J606*10.615%</f>
        <v>2229.15</v>
      </c>
    </row>
    <row r="608" spans="1:10">
      <c r="A608" s="17"/>
      <c r="B608" s="63"/>
      <c r="C608" s="64"/>
      <c r="D608" s="45" t="s">
        <v>275</v>
      </c>
      <c r="E608" s="43"/>
      <c r="F608" s="29"/>
      <c r="G608" s="49"/>
      <c r="H608" s="29"/>
      <c r="I608" s="62"/>
      <c r="J608" s="21">
        <f>SUM(J606:J607)</f>
        <v>23229.15</v>
      </c>
    </row>
    <row r="609" spans="1:10">
      <c r="A609" s="17"/>
      <c r="B609" s="63"/>
      <c r="C609" s="64"/>
      <c r="D609" s="18" t="s">
        <v>182</v>
      </c>
      <c r="E609" s="24"/>
      <c r="F609" s="25"/>
      <c r="G609" s="26"/>
      <c r="H609" s="25"/>
      <c r="I609" s="20"/>
      <c r="J609" s="21">
        <f>ROUND(J608,0)</f>
        <v>23229</v>
      </c>
    </row>
    <row r="610" spans="1:10" ht="23.25">
      <c r="A610" s="130"/>
      <c r="B610" s="130"/>
      <c r="C610" s="131"/>
      <c r="D610" s="132" t="s">
        <v>284</v>
      </c>
      <c r="E610" s="130"/>
      <c r="F610" s="130"/>
      <c r="G610" s="130"/>
      <c r="H610" s="130"/>
      <c r="I610" s="130"/>
      <c r="J610" s="133"/>
    </row>
    <row r="611" spans="1:10">
      <c r="A611" s="134"/>
      <c r="B611" s="135"/>
      <c r="C611" s="136"/>
      <c r="D611" s="10" t="s">
        <v>1</v>
      </c>
      <c r="E611" s="137"/>
      <c r="F611" s="138"/>
      <c r="G611" s="139"/>
      <c r="H611" s="140"/>
      <c r="I611" s="141"/>
      <c r="J611" s="142"/>
    </row>
    <row r="612" spans="1:10" ht="31.5">
      <c r="A612" s="134"/>
      <c r="B612" s="143" t="s">
        <v>285</v>
      </c>
      <c r="C612" s="136"/>
      <c r="D612" s="144" t="s">
        <v>286</v>
      </c>
      <c r="E612" s="138"/>
      <c r="F612" s="138"/>
      <c r="G612" s="138"/>
      <c r="H612" s="138"/>
      <c r="I612" s="138"/>
      <c r="J612" s="145"/>
    </row>
    <row r="613" spans="1:10">
      <c r="A613" s="134"/>
      <c r="B613" s="135"/>
      <c r="C613" s="146"/>
      <c r="D613" s="147" t="s">
        <v>4</v>
      </c>
      <c r="E613" s="148"/>
      <c r="F613" s="149"/>
      <c r="G613" s="150"/>
      <c r="H613" s="149"/>
      <c r="I613" s="151"/>
      <c r="J613" s="152"/>
    </row>
    <row r="614" spans="1:10">
      <c r="A614" s="134"/>
      <c r="B614" s="135"/>
      <c r="C614" s="146">
        <v>1</v>
      </c>
      <c r="D614" s="23" t="s">
        <v>9</v>
      </c>
      <c r="E614" s="148">
        <v>2</v>
      </c>
      <c r="F614" s="153" t="s">
        <v>10</v>
      </c>
      <c r="G614" s="150">
        <v>1</v>
      </c>
      <c r="H614" s="153" t="s">
        <v>10</v>
      </c>
      <c r="I614" s="151">
        <v>775</v>
      </c>
      <c r="J614" s="152">
        <f>SUM(E614*I614/G614)</f>
        <v>1550</v>
      </c>
    </row>
    <row r="615" spans="1:10">
      <c r="A615" s="134"/>
      <c r="B615" s="135"/>
      <c r="C615" s="146">
        <v>2</v>
      </c>
      <c r="D615" s="27" t="s">
        <v>12</v>
      </c>
      <c r="E615" s="154">
        <v>2</v>
      </c>
      <c r="F615" s="155" t="s">
        <v>10</v>
      </c>
      <c r="G615" s="156">
        <v>1</v>
      </c>
      <c r="H615" s="155" t="s">
        <v>10</v>
      </c>
      <c r="I615" s="157">
        <v>650</v>
      </c>
      <c r="J615" s="158">
        <f>SUM(E615*I615/G615)</f>
        <v>1300</v>
      </c>
    </row>
    <row r="616" spans="1:10">
      <c r="A616" s="134"/>
      <c r="B616" s="135"/>
      <c r="C616" s="146"/>
      <c r="D616" s="147" t="s">
        <v>263</v>
      </c>
      <c r="E616" s="148"/>
      <c r="F616" s="153"/>
      <c r="G616" s="150"/>
      <c r="H616" s="153"/>
      <c r="I616" s="151"/>
      <c r="J616" s="152">
        <f>SUM(J614:J615)</f>
        <v>2850</v>
      </c>
    </row>
    <row r="617" spans="1:10">
      <c r="A617" s="134"/>
      <c r="B617" s="135"/>
      <c r="C617" s="146"/>
      <c r="D617" s="147" t="s">
        <v>199</v>
      </c>
      <c r="E617" s="159"/>
      <c r="F617" s="153"/>
      <c r="G617" s="150"/>
      <c r="H617" s="153"/>
      <c r="I617" s="151"/>
      <c r="J617" s="152">
        <f>SUM(J616/100)</f>
        <v>28.5</v>
      </c>
    </row>
    <row r="618" spans="1:10">
      <c r="A618" s="134"/>
      <c r="B618" s="135"/>
      <c r="C618" s="146"/>
      <c r="D618" s="147" t="s">
        <v>18</v>
      </c>
      <c r="E618" s="148"/>
      <c r="F618" s="153"/>
      <c r="G618" s="150"/>
      <c r="H618" s="153"/>
      <c r="I618" s="151"/>
      <c r="J618" s="152"/>
    </row>
    <row r="619" spans="1:10" ht="22.5">
      <c r="A619" s="134"/>
      <c r="B619" s="125" t="s">
        <v>287</v>
      </c>
      <c r="C619" s="146">
        <v>3</v>
      </c>
      <c r="D619" s="160" t="s">
        <v>288</v>
      </c>
      <c r="E619" s="148">
        <v>236</v>
      </c>
      <c r="F619" s="149" t="s">
        <v>267</v>
      </c>
      <c r="G619" s="150">
        <v>1</v>
      </c>
      <c r="H619" s="149" t="s">
        <v>21</v>
      </c>
      <c r="I619" s="151">
        <v>119</v>
      </c>
      <c r="J619" s="152">
        <f>SUM(E619*I619/G619)</f>
        <v>28084</v>
      </c>
    </row>
    <row r="620" spans="1:10">
      <c r="A620" s="134"/>
      <c r="B620" s="135"/>
      <c r="C620" s="146">
        <v>4</v>
      </c>
      <c r="D620" s="161" t="s">
        <v>289</v>
      </c>
      <c r="E620" s="148"/>
      <c r="F620" s="149"/>
      <c r="G620" s="150"/>
      <c r="H620" s="149"/>
      <c r="I620" s="151"/>
      <c r="J620" s="152"/>
    </row>
    <row r="621" spans="1:10">
      <c r="A621" s="134"/>
      <c r="B621" s="135"/>
      <c r="C621" s="146"/>
      <c r="D621" s="147" t="s">
        <v>202</v>
      </c>
      <c r="E621" s="148"/>
      <c r="F621" s="149"/>
      <c r="G621" s="150"/>
      <c r="H621" s="149"/>
      <c r="I621" s="151"/>
      <c r="J621" s="152">
        <f>SUM(J619:J620)</f>
        <v>28084</v>
      </c>
    </row>
    <row r="622" spans="1:10">
      <c r="A622" s="134"/>
      <c r="B622" s="135"/>
      <c r="C622" s="146"/>
      <c r="D622" s="147" t="s">
        <v>203</v>
      </c>
      <c r="E622" s="148"/>
      <c r="F622" s="149"/>
      <c r="G622" s="150"/>
      <c r="H622" s="149"/>
      <c r="I622" s="151"/>
      <c r="J622" s="152">
        <f>SUM(J621/100)</f>
        <v>280.83999999999997</v>
      </c>
    </row>
    <row r="623" spans="1:10">
      <c r="A623" s="134"/>
      <c r="B623" s="135"/>
      <c r="C623" s="136"/>
      <c r="D623" s="162" t="s">
        <v>35</v>
      </c>
      <c r="E623" s="137"/>
      <c r="F623" s="138"/>
      <c r="G623" s="139"/>
      <c r="H623" s="163"/>
      <c r="I623" s="141"/>
      <c r="J623" s="142">
        <f>SUM(J617,J622)</f>
        <v>309.33999999999997</v>
      </c>
    </row>
    <row r="624" spans="1:10">
      <c r="A624" s="17"/>
      <c r="B624" s="63"/>
      <c r="C624" s="64"/>
      <c r="D624" s="18" t="s">
        <v>36</v>
      </c>
      <c r="E624" s="43"/>
      <c r="F624" s="29"/>
      <c r="G624" s="49"/>
      <c r="H624" s="29"/>
      <c r="I624" s="62"/>
      <c r="J624" s="21">
        <f>J623*10.615%</f>
        <v>32.836441000000001</v>
      </c>
    </row>
    <row r="625" spans="1:10">
      <c r="A625" s="17"/>
      <c r="B625" s="63"/>
      <c r="C625" s="64"/>
      <c r="D625" s="45" t="s">
        <v>275</v>
      </c>
      <c r="E625" s="43"/>
      <c r="F625" s="29"/>
      <c r="G625" s="49"/>
      <c r="H625" s="29"/>
      <c r="I625" s="62"/>
      <c r="J625" s="21">
        <f>SUM(J623:J624)</f>
        <v>342.17644099999995</v>
      </c>
    </row>
    <row r="626" spans="1:10">
      <c r="A626" s="17"/>
      <c r="B626" s="63"/>
      <c r="C626" s="64"/>
      <c r="D626" s="18" t="s">
        <v>182</v>
      </c>
      <c r="E626" s="24"/>
      <c r="F626" s="25"/>
      <c r="G626" s="26"/>
      <c r="H626" s="25"/>
      <c r="I626" s="20"/>
      <c r="J626" s="21">
        <f>ROUND(J625,0)</f>
        <v>342</v>
      </c>
    </row>
    <row r="627" spans="1:10">
      <c r="A627" s="38"/>
      <c r="B627" s="39"/>
      <c r="C627" s="40"/>
      <c r="D627" s="4" t="s">
        <v>290</v>
      </c>
      <c r="E627" s="41"/>
      <c r="F627" s="41"/>
      <c r="G627" s="41"/>
      <c r="H627" s="41"/>
      <c r="I627" s="41"/>
      <c r="J627" s="42"/>
    </row>
    <row r="628" spans="1:10">
      <c r="A628" s="31"/>
      <c r="B628" s="63"/>
      <c r="C628" s="64"/>
      <c r="D628" s="10" t="s">
        <v>1</v>
      </c>
      <c r="E628" s="24"/>
      <c r="F628" s="25"/>
      <c r="G628" s="26"/>
      <c r="H628" s="25"/>
      <c r="I628" s="20"/>
      <c r="J628" s="21"/>
    </row>
    <row r="629" spans="1:10" ht="165.75">
      <c r="A629" s="31"/>
      <c r="B629" s="63" t="s">
        <v>150</v>
      </c>
      <c r="C629" s="34"/>
      <c r="D629" s="13" t="s">
        <v>291</v>
      </c>
      <c r="E629" s="13"/>
      <c r="F629" s="13"/>
      <c r="G629" s="13"/>
      <c r="H629" s="13"/>
      <c r="I629" s="13"/>
      <c r="J629" s="16"/>
    </row>
    <row r="630" spans="1:10">
      <c r="A630" s="31"/>
      <c r="B630" s="63"/>
      <c r="C630" s="34"/>
      <c r="D630" s="164" t="s">
        <v>145</v>
      </c>
      <c r="E630" s="24"/>
      <c r="F630" s="17"/>
      <c r="G630" s="26"/>
      <c r="H630" s="17"/>
      <c r="I630" s="20"/>
      <c r="J630" s="21"/>
    </row>
    <row r="631" spans="1:10">
      <c r="A631" s="31"/>
      <c r="B631" s="26"/>
      <c r="C631" s="22">
        <v>1</v>
      </c>
      <c r="D631" s="23" t="s">
        <v>9</v>
      </c>
      <c r="E631" s="58">
        <v>0.1</v>
      </c>
      <c r="F631" s="25" t="s">
        <v>10</v>
      </c>
      <c r="G631" s="26">
        <v>1</v>
      </c>
      <c r="H631" s="25" t="s">
        <v>10</v>
      </c>
      <c r="I631" s="20">
        <v>775</v>
      </c>
      <c r="J631" s="21">
        <f>SUM(E631*I631/G631)</f>
        <v>77.5</v>
      </c>
    </row>
    <row r="632" spans="1:10" ht="25.5">
      <c r="A632" s="31"/>
      <c r="B632" s="26"/>
      <c r="C632" s="22">
        <v>2</v>
      </c>
      <c r="D632" s="27" t="s">
        <v>11</v>
      </c>
      <c r="E632" s="58">
        <v>0.1</v>
      </c>
      <c r="F632" s="25" t="s">
        <v>10</v>
      </c>
      <c r="G632" s="26">
        <v>1</v>
      </c>
      <c r="H632" s="25" t="s">
        <v>10</v>
      </c>
      <c r="I632" s="20">
        <v>650</v>
      </c>
      <c r="J632" s="21">
        <f>SUM(E632*I632/G632)</f>
        <v>65</v>
      </c>
    </row>
    <row r="633" spans="1:10">
      <c r="A633" s="31"/>
      <c r="B633" s="26"/>
      <c r="C633" s="22">
        <v>3</v>
      </c>
      <c r="D633" s="27" t="s">
        <v>12</v>
      </c>
      <c r="E633" s="165">
        <v>0.1</v>
      </c>
      <c r="F633" s="25" t="s">
        <v>10</v>
      </c>
      <c r="G633" s="31">
        <v>1</v>
      </c>
      <c r="H633" s="31" t="s">
        <v>29</v>
      </c>
      <c r="I633" s="20">
        <v>650</v>
      </c>
      <c r="J633" s="21">
        <f>SUM(E633*I633/G633)</f>
        <v>65</v>
      </c>
    </row>
    <row r="634" spans="1:10">
      <c r="A634" s="31"/>
      <c r="B634" s="26"/>
      <c r="C634" s="22"/>
      <c r="D634" s="18" t="s">
        <v>100</v>
      </c>
      <c r="E634" s="24"/>
      <c r="F634" s="25"/>
      <c r="G634" s="26"/>
      <c r="H634" s="25"/>
      <c r="I634" s="20"/>
      <c r="J634" s="21">
        <f>SUM(J631:J633)</f>
        <v>207.5</v>
      </c>
    </row>
    <row r="635" spans="1:10">
      <c r="A635" s="31"/>
      <c r="B635" s="26"/>
      <c r="C635" s="22"/>
      <c r="D635" s="66" t="s">
        <v>43</v>
      </c>
      <c r="E635" s="31"/>
      <c r="F635" s="17"/>
      <c r="G635" s="26"/>
      <c r="H635" s="17"/>
      <c r="I635" s="20"/>
      <c r="J635" s="21">
        <f>J634*0.4</f>
        <v>83</v>
      </c>
    </row>
    <row r="636" spans="1:10">
      <c r="A636" s="31"/>
      <c r="B636" s="26"/>
      <c r="C636" s="22"/>
      <c r="D636" s="13" t="s">
        <v>17</v>
      </c>
      <c r="E636" s="31"/>
      <c r="F636" s="17"/>
      <c r="G636" s="26"/>
      <c r="H636" s="17"/>
      <c r="I636" s="20"/>
      <c r="J636" s="21">
        <f>SUM(J634:J635)</f>
        <v>290.5</v>
      </c>
    </row>
    <row r="637" spans="1:10">
      <c r="A637" s="31"/>
      <c r="B637" s="63"/>
      <c r="C637" s="34"/>
      <c r="D637" s="18" t="s">
        <v>18</v>
      </c>
      <c r="E637" s="24"/>
      <c r="F637" s="25"/>
      <c r="G637" s="26"/>
      <c r="H637" s="25"/>
      <c r="I637" s="20"/>
      <c r="J637" s="21"/>
    </row>
    <row r="638" spans="1:10" ht="178.5">
      <c r="A638" s="31"/>
      <c r="B638" s="26" t="s">
        <v>292</v>
      </c>
      <c r="C638" s="22">
        <v>8</v>
      </c>
      <c r="D638" s="76" t="s">
        <v>293</v>
      </c>
      <c r="E638" s="26">
        <v>1</v>
      </c>
      <c r="F638" s="17" t="s">
        <v>24</v>
      </c>
      <c r="G638" s="26">
        <v>1</v>
      </c>
      <c r="H638" s="17" t="s">
        <v>24</v>
      </c>
      <c r="I638" s="20">
        <v>11218</v>
      </c>
      <c r="J638" s="21">
        <f>SUM(E638*I638/G638)</f>
        <v>11218</v>
      </c>
    </row>
    <row r="639" spans="1:10">
      <c r="A639" s="31"/>
      <c r="B639" s="26"/>
      <c r="C639" s="22"/>
      <c r="D639" s="76" t="s">
        <v>294</v>
      </c>
      <c r="E639" s="26"/>
      <c r="F639" s="17"/>
      <c r="G639" s="26"/>
      <c r="H639" s="17"/>
      <c r="I639" s="20"/>
      <c r="J639" s="21">
        <f>J638*30%</f>
        <v>3365.4</v>
      </c>
    </row>
    <row r="640" spans="1:10">
      <c r="A640" s="31"/>
      <c r="B640" s="26"/>
      <c r="C640" s="22"/>
      <c r="D640" s="18" t="s">
        <v>170</v>
      </c>
      <c r="E640" s="24"/>
      <c r="F640" s="17"/>
      <c r="G640" s="26"/>
      <c r="H640" s="17"/>
      <c r="I640" s="20"/>
      <c r="J640" s="21">
        <f>J638-J639</f>
        <v>7852.6</v>
      </c>
    </row>
    <row r="641" spans="1:10">
      <c r="A641" s="31"/>
      <c r="B641" s="26"/>
      <c r="C641" s="22"/>
      <c r="D641" s="18" t="s">
        <v>35</v>
      </c>
      <c r="E641" s="17"/>
      <c r="F641" s="17"/>
      <c r="G641" s="17"/>
      <c r="H641" s="31"/>
      <c r="I641" s="20"/>
      <c r="J641" s="21">
        <f>J640+J636</f>
        <v>8143.1</v>
      </c>
    </row>
    <row r="642" spans="1:10">
      <c r="A642" s="17"/>
      <c r="B642" s="29"/>
      <c r="C642" s="30"/>
      <c r="D642" s="18" t="s">
        <v>36</v>
      </c>
      <c r="E642" s="24"/>
      <c r="F642" s="25"/>
      <c r="G642" s="26"/>
      <c r="H642" s="25"/>
      <c r="I642" s="20"/>
      <c r="J642" s="36">
        <f>(J641)*0.10615</f>
        <v>864.39006499999994</v>
      </c>
    </row>
    <row r="643" spans="1:10">
      <c r="A643" s="17"/>
      <c r="B643" s="29"/>
      <c r="C643" s="30"/>
      <c r="D643" s="18" t="s">
        <v>37</v>
      </c>
      <c r="E643" s="24"/>
      <c r="F643" s="25"/>
      <c r="G643" s="26"/>
      <c r="H643" s="25"/>
      <c r="I643" s="20"/>
      <c r="J643" s="36">
        <f>SUM(J641:J642)</f>
        <v>9007.490065</v>
      </c>
    </row>
    <row r="644" spans="1:10">
      <c r="A644" s="17"/>
      <c r="B644" s="29"/>
      <c r="C644" s="30"/>
      <c r="D644" s="18" t="s">
        <v>38</v>
      </c>
      <c r="E644" s="24"/>
      <c r="F644" s="25"/>
      <c r="G644" s="26"/>
      <c r="H644" s="25"/>
      <c r="I644" s="20"/>
      <c r="J644" s="37">
        <f>ROUND(J643,0)</f>
        <v>9007</v>
      </c>
    </row>
    <row r="645" spans="1:10">
      <c r="A645" s="166"/>
      <c r="B645" s="167"/>
      <c r="C645" s="168"/>
      <c r="D645" s="169" t="s">
        <v>295</v>
      </c>
      <c r="E645" s="168"/>
      <c r="F645" s="168"/>
      <c r="G645" s="168"/>
      <c r="H645" s="168"/>
      <c r="I645" s="170"/>
      <c r="J645" s="171"/>
    </row>
    <row r="646" spans="1:10">
      <c r="A646" s="172"/>
      <c r="B646" s="173"/>
      <c r="C646" s="174"/>
      <c r="D646" s="10" t="s">
        <v>1</v>
      </c>
      <c r="E646" s="172"/>
      <c r="F646" s="172"/>
      <c r="G646" s="172"/>
      <c r="H646" s="172"/>
      <c r="I646" s="172"/>
      <c r="J646" s="175"/>
    </row>
    <row r="647" spans="1:10" ht="76.5">
      <c r="A647" s="31"/>
      <c r="B647" s="63"/>
      <c r="C647" s="34"/>
      <c r="D647" s="13" t="s">
        <v>296</v>
      </c>
      <c r="E647" s="13"/>
      <c r="F647" s="13"/>
      <c r="G647" s="13"/>
      <c r="H647" s="31"/>
      <c r="I647" s="63"/>
      <c r="J647" s="34"/>
    </row>
    <row r="648" spans="1:10">
      <c r="A648" s="31"/>
      <c r="B648" s="63"/>
      <c r="C648" s="34"/>
      <c r="D648" s="164" t="s">
        <v>240</v>
      </c>
      <c r="E648" s="24"/>
      <c r="F648" s="17"/>
      <c r="G648" s="26"/>
      <c r="H648" s="31"/>
      <c r="I648" s="63"/>
      <c r="J648" s="34"/>
    </row>
    <row r="649" spans="1:10">
      <c r="A649" s="31"/>
      <c r="B649" s="26"/>
      <c r="C649" s="22">
        <v>1</v>
      </c>
      <c r="D649" s="23" t="s">
        <v>297</v>
      </c>
      <c r="E649" s="58">
        <v>0.1</v>
      </c>
      <c r="F649" s="25" t="s">
        <v>10</v>
      </c>
      <c r="G649" s="26">
        <v>1</v>
      </c>
      <c r="H649" s="31" t="s">
        <v>10</v>
      </c>
      <c r="I649" s="26">
        <v>775</v>
      </c>
      <c r="J649" s="176">
        <f t="shared" ref="J649:J651" si="5">SUM(E649*I649/G649)</f>
        <v>77.5</v>
      </c>
    </row>
    <row r="650" spans="1:10" ht="25.5">
      <c r="A650" s="31"/>
      <c r="B650" s="63"/>
      <c r="C650" s="34">
        <v>2</v>
      </c>
      <c r="D650" s="13" t="s">
        <v>11</v>
      </c>
      <c r="E650" s="13">
        <v>0.1</v>
      </c>
      <c r="F650" s="13" t="s">
        <v>10</v>
      </c>
      <c r="G650" s="13">
        <v>1</v>
      </c>
      <c r="H650" s="31" t="s">
        <v>10</v>
      </c>
      <c r="I650" s="63">
        <v>650</v>
      </c>
      <c r="J650" s="34">
        <f t="shared" si="5"/>
        <v>65</v>
      </c>
    </row>
    <row r="651" spans="1:10">
      <c r="A651" s="31"/>
      <c r="B651" s="63"/>
      <c r="C651" s="34">
        <v>3</v>
      </c>
      <c r="D651" s="164" t="s">
        <v>12</v>
      </c>
      <c r="E651" s="24">
        <v>0.1</v>
      </c>
      <c r="F651" s="17" t="s">
        <v>10</v>
      </c>
      <c r="G651" s="26">
        <v>1</v>
      </c>
      <c r="H651" s="31" t="s">
        <v>10</v>
      </c>
      <c r="I651" s="63">
        <v>650</v>
      </c>
      <c r="J651" s="34">
        <f t="shared" si="5"/>
        <v>65</v>
      </c>
    </row>
    <row r="652" spans="1:10">
      <c r="A652" s="31"/>
      <c r="B652" s="26"/>
      <c r="C652" s="22"/>
      <c r="D652" s="23" t="s">
        <v>241</v>
      </c>
      <c r="E652" s="58"/>
      <c r="F652" s="25"/>
      <c r="G652" s="26"/>
      <c r="H652" s="31"/>
      <c r="I652" s="26"/>
      <c r="J652" s="176">
        <f>SUM(J649:J651)</f>
        <v>207.5</v>
      </c>
    </row>
    <row r="653" spans="1:10">
      <c r="A653" s="31"/>
      <c r="B653" s="63"/>
      <c r="C653" s="34"/>
      <c r="D653" s="13" t="s">
        <v>43</v>
      </c>
      <c r="E653" s="13"/>
      <c r="F653" s="13"/>
      <c r="G653" s="13"/>
      <c r="H653" s="31"/>
      <c r="I653" s="63"/>
      <c r="J653" s="34">
        <f>J652*0.4</f>
        <v>83</v>
      </c>
    </row>
    <row r="654" spans="1:10">
      <c r="A654" s="31"/>
      <c r="B654" s="63"/>
      <c r="C654" s="34"/>
      <c r="D654" s="164" t="s">
        <v>17</v>
      </c>
      <c r="E654" s="24"/>
      <c r="F654" s="17"/>
      <c r="G654" s="26"/>
      <c r="H654" s="31"/>
      <c r="I654" s="63"/>
      <c r="J654" s="34">
        <f>SUM(J652:J653)</f>
        <v>290.5</v>
      </c>
    </row>
    <row r="655" spans="1:10">
      <c r="A655" s="31"/>
      <c r="B655" s="26"/>
      <c r="C655" s="22"/>
      <c r="D655" s="23" t="s">
        <v>242</v>
      </c>
      <c r="E655" s="58"/>
      <c r="F655" s="25"/>
      <c r="G655" s="26"/>
      <c r="H655" s="31"/>
      <c r="I655" s="26"/>
      <c r="J655" s="176"/>
    </row>
    <row r="656" spans="1:10">
      <c r="A656" s="31"/>
      <c r="B656" s="63"/>
      <c r="C656" s="34">
        <v>4</v>
      </c>
      <c r="D656" s="13" t="s">
        <v>298</v>
      </c>
      <c r="E656" s="13"/>
      <c r="F656" s="13"/>
      <c r="G656" s="13"/>
      <c r="H656" s="31"/>
      <c r="I656" s="63"/>
      <c r="J656" s="34"/>
    </row>
    <row r="657" spans="1:10" ht="25.5">
      <c r="A657" s="31"/>
      <c r="B657" s="63" t="s">
        <v>299</v>
      </c>
      <c r="C657" s="34"/>
      <c r="D657" s="164" t="s">
        <v>300</v>
      </c>
      <c r="E657" s="24">
        <v>1</v>
      </c>
      <c r="F657" s="17" t="s">
        <v>24</v>
      </c>
      <c r="G657" s="26">
        <v>1</v>
      </c>
      <c r="H657" s="31" t="s">
        <v>29</v>
      </c>
      <c r="I657" s="63">
        <v>875</v>
      </c>
      <c r="J657" s="34">
        <f t="shared" ref="J657" si="6">SUM(E657*I657/G657)</f>
        <v>875</v>
      </c>
    </row>
    <row r="658" spans="1:10" ht="25.5">
      <c r="A658" s="31"/>
      <c r="B658" s="26" t="s">
        <v>234</v>
      </c>
      <c r="C658" s="22">
        <v>2</v>
      </c>
      <c r="D658" s="23" t="s">
        <v>235</v>
      </c>
      <c r="E658" s="58">
        <v>1</v>
      </c>
      <c r="F658" s="25" t="s">
        <v>29</v>
      </c>
      <c r="G658" s="26">
        <v>1</v>
      </c>
      <c r="H658" s="31" t="s">
        <v>29</v>
      </c>
      <c r="I658" s="26">
        <v>340</v>
      </c>
      <c r="J658" s="176">
        <f>SUM(E658*I658/G658)</f>
        <v>340</v>
      </c>
    </row>
    <row r="659" spans="1:10">
      <c r="A659" s="31"/>
      <c r="B659" s="63"/>
      <c r="C659" s="34"/>
      <c r="D659" s="13" t="s">
        <v>141</v>
      </c>
      <c r="E659" s="13"/>
      <c r="F659" s="13"/>
      <c r="G659" s="13"/>
      <c r="H659" s="31"/>
      <c r="I659" s="63"/>
      <c r="J659" s="34">
        <f>SUM(J656:J658)</f>
        <v>1215</v>
      </c>
    </row>
    <row r="660" spans="1:10">
      <c r="A660" s="31"/>
      <c r="B660" s="63"/>
      <c r="C660" s="34"/>
      <c r="D660" s="164" t="s">
        <v>35</v>
      </c>
      <c r="E660" s="24"/>
      <c r="F660" s="17"/>
      <c r="G660" s="26"/>
      <c r="H660" s="31"/>
      <c r="I660" s="63"/>
      <c r="J660" s="34">
        <f>J659+J654</f>
        <v>1505.5</v>
      </c>
    </row>
    <row r="661" spans="1:10">
      <c r="A661" s="31"/>
      <c r="B661" s="26"/>
      <c r="C661" s="22"/>
      <c r="D661" s="23" t="s">
        <v>301</v>
      </c>
      <c r="E661" s="58"/>
      <c r="F661" s="25"/>
      <c r="G661" s="26"/>
      <c r="H661" s="31"/>
      <c r="I661" s="26"/>
      <c r="J661" s="176">
        <f>J660*10.615%</f>
        <v>159.80882500000001</v>
      </c>
    </row>
    <row r="662" spans="1:10">
      <c r="A662" s="31"/>
      <c r="B662" s="63"/>
      <c r="C662" s="34"/>
      <c r="D662" s="13" t="s">
        <v>275</v>
      </c>
      <c r="E662" s="13"/>
      <c r="F662" s="13"/>
      <c r="G662" s="13"/>
      <c r="H662" s="31"/>
      <c r="I662" s="63"/>
      <c r="J662" s="34">
        <f>SUM(J660:J661)</f>
        <v>1665.3088250000001</v>
      </c>
    </row>
    <row r="663" spans="1:10">
      <c r="A663" s="31"/>
      <c r="B663" s="63"/>
      <c r="C663" s="34"/>
      <c r="D663" s="164" t="s">
        <v>38</v>
      </c>
      <c r="E663" s="24"/>
      <c r="F663" s="17"/>
      <c r="G663" s="26"/>
      <c r="H663" s="31"/>
      <c r="I663" s="63"/>
      <c r="J663" s="34">
        <f>ROUND(J662,0)</f>
        <v>1665</v>
      </c>
    </row>
    <row r="664" spans="1:10">
      <c r="A664" s="38"/>
      <c r="B664" s="39"/>
      <c r="C664" s="40"/>
      <c r="D664" s="4" t="s">
        <v>302</v>
      </c>
      <c r="E664" s="41"/>
      <c r="F664" s="41"/>
      <c r="G664" s="41"/>
      <c r="H664" s="41"/>
      <c r="I664" s="41"/>
      <c r="J664" s="42"/>
    </row>
    <row r="665" spans="1:10">
      <c r="A665" s="17"/>
      <c r="B665" s="43"/>
      <c r="C665" s="47"/>
      <c r="D665" s="10" t="s">
        <v>1</v>
      </c>
      <c r="E665" s="43"/>
      <c r="F665" s="29"/>
      <c r="G665" s="49"/>
      <c r="H665" s="29"/>
      <c r="I665" s="43"/>
      <c r="J665" s="35"/>
    </row>
    <row r="666" spans="1:10" ht="51">
      <c r="A666" s="17"/>
      <c r="B666" s="43" t="s">
        <v>247</v>
      </c>
      <c r="C666" s="60"/>
      <c r="D666" s="13" t="s">
        <v>303</v>
      </c>
      <c r="E666" s="13"/>
      <c r="F666" s="13"/>
      <c r="G666" s="13"/>
      <c r="H666" s="13"/>
      <c r="I666" s="13"/>
      <c r="J666" s="16"/>
    </row>
    <row r="667" spans="1:10">
      <c r="A667" s="17"/>
      <c r="B667" s="121"/>
      <c r="C667" s="122"/>
      <c r="D667" s="44" t="s">
        <v>18</v>
      </c>
      <c r="E667" s="43"/>
      <c r="F667" s="48"/>
      <c r="G667" s="49"/>
      <c r="H667" s="48"/>
      <c r="I667" s="43"/>
      <c r="J667" s="35"/>
    </row>
    <row r="668" spans="1:10" ht="38.25">
      <c r="A668" s="17"/>
      <c r="B668" s="103" t="s">
        <v>304</v>
      </c>
      <c r="C668" s="124">
        <v>1</v>
      </c>
      <c r="D668" s="13" t="s">
        <v>305</v>
      </c>
      <c r="E668" s="43">
        <v>1</v>
      </c>
      <c r="F668" s="29" t="s">
        <v>64</v>
      </c>
      <c r="G668" s="49">
        <v>1</v>
      </c>
      <c r="H668" s="29" t="s">
        <v>64</v>
      </c>
      <c r="I668" s="24">
        <v>319</v>
      </c>
      <c r="J668" s="35">
        <f>SUM(E668*I668/G668)</f>
        <v>319</v>
      </c>
    </row>
    <row r="669" spans="1:10">
      <c r="A669" s="17"/>
      <c r="B669" s="29"/>
      <c r="C669" s="30"/>
      <c r="D669" s="45" t="s">
        <v>181</v>
      </c>
      <c r="E669" s="43"/>
      <c r="F669" s="29"/>
      <c r="G669" s="49"/>
      <c r="H669" s="29"/>
      <c r="I669" s="47"/>
      <c r="J669" s="21">
        <f>SUM(J668:J668)</f>
        <v>319</v>
      </c>
    </row>
    <row r="670" spans="1:10" ht="25.5">
      <c r="A670" s="17"/>
      <c r="B670" s="29" t="s">
        <v>306</v>
      </c>
      <c r="C670" s="30">
        <v>2</v>
      </c>
      <c r="D670" s="45" t="s">
        <v>307</v>
      </c>
      <c r="E670" s="43">
        <v>1</v>
      </c>
      <c r="F670" s="29" t="s">
        <v>64</v>
      </c>
      <c r="G670" s="49">
        <v>1</v>
      </c>
      <c r="H670" s="29" t="s">
        <v>64</v>
      </c>
      <c r="I670" s="24">
        <v>6</v>
      </c>
      <c r="J670" s="35">
        <f>SUM(E670*I670/G670)</f>
        <v>6</v>
      </c>
    </row>
    <row r="671" spans="1:10">
      <c r="A671" s="31"/>
      <c r="B671" s="26"/>
      <c r="C671" s="22"/>
      <c r="D671" s="18" t="s">
        <v>35</v>
      </c>
      <c r="E671" s="17"/>
      <c r="F671" s="17"/>
      <c r="G671" s="17"/>
      <c r="H671" s="31"/>
      <c r="I671" s="20"/>
      <c r="J671" s="21">
        <f>J670+J669</f>
        <v>325</v>
      </c>
    </row>
    <row r="672" spans="1:10">
      <c r="A672" s="177"/>
      <c r="B672" s="178"/>
      <c r="C672" s="179"/>
      <c r="D672" s="180" t="s">
        <v>301</v>
      </c>
      <c r="E672" s="181"/>
      <c r="F672" s="182"/>
      <c r="G672" s="183"/>
      <c r="H672" s="182"/>
      <c r="I672" s="184"/>
      <c r="J672" s="185">
        <f>J671*10.615%</f>
        <v>34.498750000000001</v>
      </c>
    </row>
    <row r="673" spans="1:10">
      <c r="A673" s="17"/>
      <c r="B673" s="29"/>
      <c r="C673" s="30"/>
      <c r="D673" s="18" t="s">
        <v>37</v>
      </c>
      <c r="E673" s="24"/>
      <c r="F673" s="25"/>
      <c r="G673" s="26"/>
      <c r="H673" s="25"/>
      <c r="I673" s="20"/>
      <c r="J673" s="36">
        <f>SUM(J671:J672)</f>
        <v>359.49874999999997</v>
      </c>
    </row>
    <row r="674" spans="1:10">
      <c r="A674" s="17"/>
      <c r="B674" s="29"/>
      <c r="C674" s="30"/>
      <c r="D674" s="18" t="s">
        <v>38</v>
      </c>
      <c r="E674" s="24"/>
      <c r="F674" s="25"/>
      <c r="G674" s="26"/>
      <c r="H674" s="25"/>
      <c r="I674" s="20"/>
      <c r="J674" s="37">
        <f>ROUND(J673,0)</f>
        <v>359</v>
      </c>
    </row>
    <row r="675" spans="1:10">
      <c r="A675" s="38"/>
      <c r="B675" s="39"/>
      <c r="C675" s="40"/>
      <c r="D675" s="4" t="s">
        <v>308</v>
      </c>
      <c r="E675" s="41"/>
      <c r="F675" s="41"/>
      <c r="G675" s="41"/>
      <c r="H675" s="41"/>
      <c r="I675" s="41"/>
      <c r="J675" s="42"/>
    </row>
    <row r="676" spans="1:10">
      <c r="A676" s="17"/>
      <c r="B676" s="43"/>
      <c r="C676" s="47"/>
      <c r="D676" s="10" t="s">
        <v>1</v>
      </c>
      <c r="E676" s="43"/>
      <c r="F676" s="29"/>
      <c r="G676" s="49"/>
      <c r="H676" s="29"/>
      <c r="I676" s="43"/>
      <c r="J676" s="35"/>
    </row>
    <row r="677" spans="1:10" ht="51">
      <c r="A677" s="17"/>
      <c r="B677" s="43" t="s">
        <v>247</v>
      </c>
      <c r="C677" s="60"/>
      <c r="D677" s="13" t="s">
        <v>309</v>
      </c>
      <c r="E677" s="13"/>
      <c r="F677" s="13"/>
      <c r="G677" s="13"/>
      <c r="H677" s="13"/>
      <c r="I677" s="13"/>
      <c r="J677" s="16"/>
    </row>
    <row r="678" spans="1:10">
      <c r="A678" s="17"/>
      <c r="B678" s="121"/>
      <c r="C678" s="122"/>
      <c r="D678" s="44" t="s">
        <v>18</v>
      </c>
      <c r="E678" s="43"/>
      <c r="F678" s="48"/>
      <c r="G678" s="49"/>
      <c r="H678" s="48"/>
      <c r="I678" s="43"/>
      <c r="J678" s="35"/>
    </row>
    <row r="679" spans="1:10" ht="76.5">
      <c r="A679" s="17"/>
      <c r="B679" s="103" t="s">
        <v>310</v>
      </c>
      <c r="C679" s="122"/>
      <c r="D679" s="13" t="s">
        <v>311</v>
      </c>
      <c r="E679" s="43">
        <v>1</v>
      </c>
      <c r="F679" s="29" t="s">
        <v>64</v>
      </c>
      <c r="G679" s="49">
        <v>1</v>
      </c>
      <c r="H679" s="29" t="s">
        <v>32</v>
      </c>
      <c r="I679" s="24">
        <v>600</v>
      </c>
      <c r="J679" s="35">
        <f>SUM(E679*I679/G679)</f>
        <v>600</v>
      </c>
    </row>
    <row r="680" spans="1:10">
      <c r="A680" s="177"/>
      <c r="B680" s="178"/>
      <c r="C680" s="179"/>
      <c r="D680" s="180" t="s">
        <v>301</v>
      </c>
      <c r="E680" s="181"/>
      <c r="F680" s="182"/>
      <c r="G680" s="183"/>
      <c r="H680" s="182"/>
      <c r="I680" s="184"/>
      <c r="J680" s="185">
        <f>J679*10.615%</f>
        <v>63.690000000000005</v>
      </c>
    </row>
    <row r="681" spans="1:10">
      <c r="A681" s="17"/>
      <c r="B681" s="29"/>
      <c r="C681" s="30"/>
      <c r="D681" s="18" t="s">
        <v>37</v>
      </c>
      <c r="E681" s="24"/>
      <c r="F681" s="25"/>
      <c r="G681" s="26"/>
      <c r="H681" s="25"/>
      <c r="I681" s="20"/>
      <c r="J681" s="36">
        <f>SUM(J679:J680)</f>
        <v>663.69</v>
      </c>
    </row>
    <row r="682" spans="1:10">
      <c r="A682" s="17"/>
      <c r="B682" s="29"/>
      <c r="C682" s="30"/>
      <c r="D682" s="18" t="s">
        <v>38</v>
      </c>
      <c r="E682" s="24"/>
      <c r="F682" s="25"/>
      <c r="G682" s="26"/>
      <c r="H682" s="25"/>
      <c r="I682" s="20"/>
      <c r="J682" s="37">
        <f>ROUND(J681,0)</f>
        <v>664</v>
      </c>
    </row>
    <row r="683" spans="1:10">
      <c r="A683" s="38"/>
      <c r="B683" s="39"/>
      <c r="C683" s="40"/>
      <c r="D683" s="4" t="s">
        <v>312</v>
      </c>
      <c r="E683" s="41"/>
      <c r="F683" s="41"/>
      <c r="G683" s="41"/>
      <c r="H683" s="41"/>
      <c r="I683" s="41"/>
      <c r="J683" s="42"/>
    </row>
    <row r="684" spans="1:10">
      <c r="A684" s="31"/>
      <c r="B684" s="26"/>
      <c r="C684" s="22"/>
      <c r="D684" s="10" t="s">
        <v>1</v>
      </c>
      <c r="E684" s="43"/>
      <c r="F684" s="29"/>
      <c r="G684" s="49"/>
      <c r="H684" s="29"/>
      <c r="I684" s="62"/>
      <c r="J684" s="21"/>
    </row>
    <row r="685" spans="1:10" ht="63.75">
      <c r="A685" s="31"/>
      <c r="B685" s="26" t="s">
        <v>313</v>
      </c>
      <c r="C685" s="22"/>
      <c r="D685" s="44" t="s">
        <v>314</v>
      </c>
      <c r="E685" s="44"/>
      <c r="F685" s="44"/>
      <c r="G685" s="44"/>
      <c r="H685" s="44"/>
      <c r="I685" s="44"/>
      <c r="J685" s="16"/>
    </row>
    <row r="686" spans="1:10">
      <c r="A686" s="31"/>
      <c r="B686" s="26"/>
      <c r="C686" s="22"/>
      <c r="D686" s="186" t="s">
        <v>315</v>
      </c>
      <c r="E686" s="35"/>
      <c r="F686" s="63"/>
      <c r="G686" s="129"/>
      <c r="H686" s="63"/>
      <c r="I686" s="21"/>
      <c r="J686" s="21"/>
    </row>
    <row r="687" spans="1:10">
      <c r="A687" s="31"/>
      <c r="B687" s="26"/>
      <c r="C687" s="22">
        <v>1</v>
      </c>
      <c r="D687" s="23" t="s">
        <v>9</v>
      </c>
      <c r="E687" s="35">
        <v>1</v>
      </c>
      <c r="F687" s="187" t="s">
        <v>10</v>
      </c>
      <c r="G687" s="129">
        <v>1</v>
      </c>
      <c r="H687" s="187" t="s">
        <v>10</v>
      </c>
      <c r="I687" s="188">
        <v>775</v>
      </c>
      <c r="J687" s="21">
        <f>SUM(E687*I687/G687)</f>
        <v>775</v>
      </c>
    </row>
    <row r="688" spans="1:10" ht="25.5">
      <c r="A688" s="31"/>
      <c r="B688" s="26"/>
      <c r="C688" s="22">
        <v>2</v>
      </c>
      <c r="D688" s="27" t="s">
        <v>11</v>
      </c>
      <c r="E688" s="35">
        <v>4</v>
      </c>
      <c r="F688" s="187" t="s">
        <v>10</v>
      </c>
      <c r="G688" s="129">
        <v>1</v>
      </c>
      <c r="H688" s="187" t="s">
        <v>10</v>
      </c>
      <c r="I688" s="188">
        <v>650</v>
      </c>
      <c r="J688" s="21">
        <f>SUM(E688*I688/G688)</f>
        <v>2600</v>
      </c>
    </row>
    <row r="689" spans="1:10">
      <c r="A689" s="31"/>
      <c r="B689" s="26"/>
      <c r="C689" s="22"/>
      <c r="D689" s="64" t="s">
        <v>316</v>
      </c>
      <c r="E689" s="35"/>
      <c r="F689" s="187"/>
      <c r="G689" s="129"/>
      <c r="H689" s="187"/>
      <c r="I689" s="21"/>
      <c r="J689" s="21">
        <f>SUM(J687:J688)</f>
        <v>3375</v>
      </c>
    </row>
    <row r="690" spans="1:10">
      <c r="A690" s="31"/>
      <c r="B690" s="26"/>
      <c r="C690" s="22"/>
      <c r="D690" s="64" t="s">
        <v>317</v>
      </c>
      <c r="E690" s="35"/>
      <c r="F690" s="187"/>
      <c r="G690" s="129"/>
      <c r="H690" s="187"/>
      <c r="I690" s="21"/>
      <c r="J690" s="21">
        <f>SUM(J689/100)</f>
        <v>33.75</v>
      </c>
    </row>
    <row r="691" spans="1:10">
      <c r="A691" s="31"/>
      <c r="B691" s="26"/>
      <c r="C691" s="22"/>
      <c r="D691" s="66" t="s">
        <v>43</v>
      </c>
      <c r="E691" s="31"/>
      <c r="F691" s="17"/>
      <c r="G691" s="26"/>
      <c r="H691" s="17"/>
      <c r="I691" s="20"/>
      <c r="J691" s="21">
        <f>J690*0.4</f>
        <v>13.5</v>
      </c>
    </row>
    <row r="692" spans="1:10">
      <c r="A692" s="31"/>
      <c r="B692" s="26"/>
      <c r="C692" s="22"/>
      <c r="D692" s="13" t="s">
        <v>17</v>
      </c>
      <c r="E692" s="31"/>
      <c r="F692" s="17"/>
      <c r="G692" s="26"/>
      <c r="H692" s="17"/>
      <c r="I692" s="20"/>
      <c r="J692" s="21">
        <f>SUM(J690:J691)</f>
        <v>47.25</v>
      </c>
    </row>
    <row r="693" spans="1:10">
      <c r="A693" s="31"/>
      <c r="B693" s="26"/>
      <c r="C693" s="22"/>
      <c r="D693" s="57" t="s">
        <v>318</v>
      </c>
      <c r="E693" s="35"/>
      <c r="F693" s="187"/>
      <c r="G693" s="129"/>
      <c r="H693" s="187"/>
      <c r="I693" s="20"/>
      <c r="J693" s="21"/>
    </row>
    <row r="694" spans="1:10">
      <c r="A694" s="31"/>
      <c r="B694" s="125" t="s">
        <v>319</v>
      </c>
      <c r="C694" s="22">
        <v>3</v>
      </c>
      <c r="D694" s="116" t="s">
        <v>320</v>
      </c>
      <c r="E694" s="24">
        <v>400</v>
      </c>
      <c r="F694" s="25" t="s">
        <v>24</v>
      </c>
      <c r="G694" s="26">
        <v>100</v>
      </c>
      <c r="H694" s="25" t="s">
        <v>24</v>
      </c>
      <c r="I694" s="20">
        <v>163</v>
      </c>
      <c r="J694" s="21">
        <f>SUM(E694*I694/G694)</f>
        <v>652</v>
      </c>
    </row>
    <row r="695" spans="1:10" ht="39">
      <c r="A695" s="31"/>
      <c r="B695" s="125" t="s">
        <v>321</v>
      </c>
      <c r="C695" s="22">
        <v>4</v>
      </c>
      <c r="D695" s="189" t="s">
        <v>322</v>
      </c>
      <c r="E695" s="24">
        <v>200</v>
      </c>
      <c r="F695" s="25" t="s">
        <v>24</v>
      </c>
      <c r="G695" s="26">
        <v>100</v>
      </c>
      <c r="H695" s="25" t="s">
        <v>24</v>
      </c>
      <c r="I695" s="20">
        <v>668</v>
      </c>
      <c r="J695" s="21">
        <f>SUM(E695*I695/G695)</f>
        <v>1336</v>
      </c>
    </row>
    <row r="696" spans="1:10">
      <c r="A696" s="31"/>
      <c r="B696" s="26"/>
      <c r="C696" s="22"/>
      <c r="D696" s="57" t="s">
        <v>323</v>
      </c>
      <c r="E696" s="35">
        <v>100</v>
      </c>
      <c r="F696" s="63" t="s">
        <v>64</v>
      </c>
      <c r="G696" s="129"/>
      <c r="H696" s="63"/>
      <c r="I696" s="21"/>
      <c r="J696" s="21">
        <f>SUM(J694:J695)</f>
        <v>1988</v>
      </c>
    </row>
    <row r="697" spans="1:10">
      <c r="A697" s="31"/>
      <c r="B697" s="26"/>
      <c r="C697" s="22"/>
      <c r="D697" s="57" t="s">
        <v>324</v>
      </c>
      <c r="E697" s="35">
        <v>1</v>
      </c>
      <c r="F697" s="63" t="s">
        <v>64</v>
      </c>
      <c r="G697" s="129"/>
      <c r="H697" s="187"/>
      <c r="I697" s="21"/>
      <c r="J697" s="21">
        <f>SUM(J696/100)</f>
        <v>19.88</v>
      </c>
    </row>
    <row r="698" spans="1:10">
      <c r="A698" s="31"/>
      <c r="B698" s="26"/>
      <c r="C698" s="22"/>
      <c r="D698" s="57" t="s">
        <v>35</v>
      </c>
      <c r="E698" s="63"/>
      <c r="F698" s="63"/>
      <c r="G698" s="63"/>
      <c r="H698" s="63"/>
      <c r="I698" s="62"/>
      <c r="J698" s="35">
        <f>J697+J692</f>
        <v>67.13</v>
      </c>
    </row>
    <row r="699" spans="1:10">
      <c r="A699" s="177"/>
      <c r="B699" s="178"/>
      <c r="C699" s="179"/>
      <c r="D699" s="180" t="s">
        <v>301</v>
      </c>
      <c r="E699" s="181"/>
      <c r="F699" s="182"/>
      <c r="G699" s="183"/>
      <c r="H699" s="182"/>
      <c r="I699" s="184"/>
      <c r="J699" s="185">
        <f>J698*10.615%</f>
        <v>7.1258495000000002</v>
      </c>
    </row>
    <row r="700" spans="1:10">
      <c r="A700" s="17"/>
      <c r="B700" s="29"/>
      <c r="C700" s="30"/>
      <c r="D700" s="18" t="s">
        <v>37</v>
      </c>
      <c r="E700" s="24"/>
      <c r="F700" s="25"/>
      <c r="G700" s="26"/>
      <c r="H700" s="25"/>
      <c r="I700" s="20"/>
      <c r="J700" s="36">
        <f>J699+J698</f>
        <v>74.255849499999997</v>
      </c>
    </row>
    <row r="701" spans="1:10">
      <c r="A701" s="17"/>
      <c r="B701" s="29"/>
      <c r="C701" s="30"/>
      <c r="D701" s="18" t="s">
        <v>38</v>
      </c>
      <c r="E701" s="24"/>
      <c r="F701" s="25"/>
      <c r="G701" s="26"/>
      <c r="H701" s="25"/>
      <c r="I701" s="20"/>
      <c r="J701" s="37">
        <f>ROUND(J700,0)</f>
        <v>74</v>
      </c>
    </row>
    <row r="702" spans="1:10">
      <c r="A702" s="38"/>
      <c r="B702" s="39"/>
      <c r="C702" s="40"/>
      <c r="D702" s="4" t="s">
        <v>325</v>
      </c>
      <c r="E702" s="41"/>
      <c r="F702" s="41"/>
      <c r="G702" s="41"/>
      <c r="H702" s="41"/>
      <c r="I702" s="41"/>
      <c r="J702" s="42"/>
    </row>
    <row r="703" spans="1:10">
      <c r="A703" s="31"/>
      <c r="B703" s="26"/>
      <c r="C703" s="22"/>
      <c r="D703" s="10" t="s">
        <v>1</v>
      </c>
      <c r="E703" s="43"/>
      <c r="F703" s="29"/>
      <c r="G703" s="49"/>
      <c r="H703" s="29"/>
      <c r="I703" s="62"/>
      <c r="J703" s="21"/>
    </row>
    <row r="704" spans="1:10" ht="51">
      <c r="A704" s="31"/>
      <c r="B704" s="26" t="s">
        <v>326</v>
      </c>
      <c r="C704" s="22"/>
      <c r="D704" s="44" t="s">
        <v>327</v>
      </c>
      <c r="E704" s="44"/>
      <c r="F704" s="44"/>
      <c r="G704" s="44"/>
      <c r="H704" s="44"/>
      <c r="I704" s="44"/>
      <c r="J704" s="16"/>
    </row>
    <row r="705" spans="1:10">
      <c r="A705" s="31"/>
      <c r="B705" s="26"/>
      <c r="C705" s="22"/>
      <c r="D705" s="186" t="s">
        <v>315</v>
      </c>
      <c r="E705" s="35"/>
      <c r="F705" s="63"/>
      <c r="G705" s="129"/>
      <c r="H705" s="63"/>
      <c r="I705" s="21"/>
      <c r="J705" s="21"/>
    </row>
    <row r="706" spans="1:10">
      <c r="A706" s="31"/>
      <c r="B706" s="26"/>
      <c r="C706" s="22">
        <v>1</v>
      </c>
      <c r="D706" s="23" t="s">
        <v>9</v>
      </c>
      <c r="E706" s="35">
        <v>1</v>
      </c>
      <c r="F706" s="187" t="s">
        <v>10</v>
      </c>
      <c r="G706" s="129">
        <v>1</v>
      </c>
      <c r="H706" s="187" t="s">
        <v>10</v>
      </c>
      <c r="I706" s="188">
        <v>775</v>
      </c>
      <c r="J706" s="21">
        <f>SUM(E706*I706/G706)</f>
        <v>775</v>
      </c>
    </row>
    <row r="707" spans="1:10" ht="25.5">
      <c r="A707" s="31"/>
      <c r="B707" s="26"/>
      <c r="C707" s="22">
        <v>2</v>
      </c>
      <c r="D707" s="27" t="s">
        <v>11</v>
      </c>
      <c r="E707" s="35">
        <v>2</v>
      </c>
      <c r="F707" s="187" t="s">
        <v>10</v>
      </c>
      <c r="G707" s="129">
        <v>1</v>
      </c>
      <c r="H707" s="187" t="s">
        <v>10</v>
      </c>
      <c r="I707" s="188">
        <v>650</v>
      </c>
      <c r="J707" s="21">
        <f>SUM(E707*I707/G707)</f>
        <v>1300</v>
      </c>
    </row>
    <row r="708" spans="1:10">
      <c r="A708" s="31"/>
      <c r="B708" s="26"/>
      <c r="C708" s="22">
        <v>3</v>
      </c>
      <c r="D708" s="190" t="s">
        <v>328</v>
      </c>
      <c r="E708" s="35">
        <v>2.5</v>
      </c>
      <c r="F708" s="187" t="s">
        <v>10</v>
      </c>
      <c r="G708" s="129">
        <v>1</v>
      </c>
      <c r="H708" s="187" t="s">
        <v>10</v>
      </c>
      <c r="I708" s="188">
        <v>650</v>
      </c>
      <c r="J708" s="21">
        <f>SUM(E708*I708/G708)</f>
        <v>1625</v>
      </c>
    </row>
    <row r="709" spans="1:10">
      <c r="A709" s="31"/>
      <c r="B709" s="26"/>
      <c r="C709" s="22"/>
      <c r="D709" s="64" t="s">
        <v>316</v>
      </c>
      <c r="E709" s="35"/>
      <c r="F709" s="187"/>
      <c r="G709" s="129"/>
      <c r="H709" s="187"/>
      <c r="I709" s="21"/>
      <c r="J709" s="21">
        <f>SUM(J706:J708)</f>
        <v>3700</v>
      </c>
    </row>
    <row r="710" spans="1:10">
      <c r="A710" s="31"/>
      <c r="B710" s="26"/>
      <c r="C710" s="22"/>
      <c r="D710" s="64" t="s">
        <v>317</v>
      </c>
      <c r="E710" s="35"/>
      <c r="F710" s="187"/>
      <c r="G710" s="129"/>
      <c r="H710" s="187"/>
      <c r="I710" s="21"/>
      <c r="J710" s="21">
        <f>SUM(J709/100)</f>
        <v>37</v>
      </c>
    </row>
    <row r="711" spans="1:10">
      <c r="A711" s="31"/>
      <c r="B711" s="26"/>
      <c r="C711" s="22"/>
      <c r="D711" s="66" t="s">
        <v>43</v>
      </c>
      <c r="E711" s="31"/>
      <c r="F711" s="17"/>
      <c r="G711" s="26"/>
      <c r="H711" s="17"/>
      <c r="I711" s="20" t="s">
        <v>329</v>
      </c>
      <c r="J711" s="21">
        <f>J710*0.4</f>
        <v>14.8</v>
      </c>
    </row>
    <row r="712" spans="1:10">
      <c r="A712" s="31"/>
      <c r="B712" s="26"/>
      <c r="C712" s="22"/>
      <c r="D712" s="13" t="s">
        <v>17</v>
      </c>
      <c r="E712" s="31"/>
      <c r="F712" s="17"/>
      <c r="G712" s="26"/>
      <c r="H712" s="17"/>
      <c r="I712" s="20"/>
      <c r="J712" s="21">
        <f>SUM(J710:J711)</f>
        <v>51.8</v>
      </c>
    </row>
    <row r="713" spans="1:10">
      <c r="A713" s="31"/>
      <c r="B713" s="26"/>
      <c r="C713" s="22"/>
      <c r="D713" s="57" t="s">
        <v>318</v>
      </c>
      <c r="E713" s="35"/>
      <c r="F713" s="187"/>
      <c r="G713" s="129"/>
      <c r="H713" s="187"/>
      <c r="I713" s="21"/>
      <c r="J713" s="21"/>
    </row>
    <row r="714" spans="1:10" ht="22.5">
      <c r="A714" s="191"/>
      <c r="B714" s="192" t="s">
        <v>330</v>
      </c>
      <c r="C714" s="193">
        <v>4</v>
      </c>
      <c r="D714" s="194" t="s">
        <v>331</v>
      </c>
      <c r="E714" s="77">
        <v>27</v>
      </c>
      <c r="F714" s="74" t="s">
        <v>332</v>
      </c>
      <c r="G714" s="78">
        <v>1</v>
      </c>
      <c r="H714" s="74" t="s">
        <v>332</v>
      </c>
      <c r="I714" s="79">
        <v>318</v>
      </c>
      <c r="J714" s="79">
        <f>SUM(E714*I714/G714)</f>
        <v>8586</v>
      </c>
    </row>
    <row r="715" spans="1:10">
      <c r="A715" s="31"/>
      <c r="B715" s="26"/>
      <c r="C715" s="22"/>
      <c r="D715" s="195" t="s">
        <v>333</v>
      </c>
      <c r="E715" s="35"/>
      <c r="F715" s="63"/>
      <c r="G715" s="129"/>
      <c r="H715" s="63"/>
      <c r="I715" s="21"/>
      <c r="J715" s="21"/>
    </row>
    <row r="716" spans="1:10" ht="22.5">
      <c r="A716" s="31"/>
      <c r="B716" s="125" t="s">
        <v>334</v>
      </c>
      <c r="C716" s="22">
        <v>5</v>
      </c>
      <c r="D716" s="120" t="s">
        <v>335</v>
      </c>
      <c r="E716" s="35">
        <v>920</v>
      </c>
      <c r="F716" s="63" t="s">
        <v>24</v>
      </c>
      <c r="G716" s="129">
        <v>1000</v>
      </c>
      <c r="H716" s="63" t="s">
        <v>24</v>
      </c>
      <c r="I716" s="21">
        <v>9702</v>
      </c>
      <c r="J716" s="21">
        <f>SUM(E716*I716/G716)</f>
        <v>8925.84</v>
      </c>
    </row>
    <row r="717" spans="1:10">
      <c r="A717" s="31"/>
      <c r="B717" s="26"/>
      <c r="C717" s="22"/>
      <c r="D717" s="57" t="s">
        <v>336</v>
      </c>
      <c r="E717" s="35">
        <v>100</v>
      </c>
      <c r="F717" s="63" t="s">
        <v>64</v>
      </c>
      <c r="G717" s="129"/>
      <c r="H717" s="63"/>
      <c r="I717" s="21"/>
      <c r="J717" s="21">
        <f>SUM(J714:J716)</f>
        <v>17511.84</v>
      </c>
    </row>
    <row r="718" spans="1:10">
      <c r="A718" s="31"/>
      <c r="B718" s="26"/>
      <c r="C718" s="22"/>
      <c r="D718" s="57" t="s">
        <v>337</v>
      </c>
      <c r="E718" s="35">
        <v>1</v>
      </c>
      <c r="F718" s="63" t="s">
        <v>64</v>
      </c>
      <c r="G718" s="129"/>
      <c r="H718" s="187"/>
      <c r="I718" s="21"/>
      <c r="J718" s="21">
        <f>SUM(J717/100)</f>
        <v>175.11840000000001</v>
      </c>
    </row>
    <row r="719" spans="1:10">
      <c r="A719" s="31"/>
      <c r="B719" s="26"/>
      <c r="C719" s="22"/>
      <c r="D719" s="57" t="s">
        <v>35</v>
      </c>
      <c r="E719" s="63"/>
      <c r="F719" s="63"/>
      <c r="G719" s="63"/>
      <c r="H719" s="63"/>
      <c r="I719" s="62"/>
      <c r="J719" s="35">
        <f>J718+J712</f>
        <v>226.91840000000002</v>
      </c>
    </row>
    <row r="720" spans="1:10">
      <c r="A720" s="177"/>
      <c r="B720" s="178"/>
      <c r="C720" s="179"/>
      <c r="D720" s="180" t="s">
        <v>301</v>
      </c>
      <c r="E720" s="181"/>
      <c r="F720" s="182"/>
      <c r="G720" s="183"/>
      <c r="H720" s="182"/>
      <c r="I720" s="184"/>
      <c r="J720" s="185">
        <f>J719*10.615%</f>
        <v>24.087388160000003</v>
      </c>
    </row>
    <row r="721" spans="1:10">
      <c r="A721" s="17"/>
      <c r="B721" s="29"/>
      <c r="C721" s="30"/>
      <c r="D721" s="18" t="s">
        <v>37</v>
      </c>
      <c r="E721" s="24"/>
      <c r="F721" s="25"/>
      <c r="G721" s="26"/>
      <c r="H721" s="25"/>
      <c r="I721" s="20"/>
      <c r="J721" s="36">
        <f>J720+J719</f>
        <v>251.00578816000001</v>
      </c>
    </row>
    <row r="722" spans="1:10">
      <c r="A722" s="17"/>
      <c r="B722" s="29"/>
      <c r="C722" s="30"/>
      <c r="D722" s="18" t="s">
        <v>38</v>
      </c>
      <c r="E722" s="24"/>
      <c r="F722" s="25"/>
      <c r="G722" s="26"/>
      <c r="H722" s="25"/>
      <c r="I722" s="20"/>
      <c r="J722" s="37">
        <f>ROUND(J721,0)</f>
        <v>251</v>
      </c>
    </row>
    <row r="723" spans="1:10">
      <c r="A723" s="38"/>
      <c r="B723" s="39"/>
      <c r="C723" s="40"/>
      <c r="D723" s="4" t="s">
        <v>338</v>
      </c>
      <c r="E723" s="41"/>
      <c r="F723" s="41"/>
      <c r="G723" s="41"/>
      <c r="H723" s="41"/>
      <c r="I723" s="41"/>
      <c r="J723" s="42"/>
    </row>
    <row r="724" spans="1:10">
      <c r="A724" s="17"/>
      <c r="B724" s="43"/>
      <c r="C724" s="47"/>
      <c r="D724" s="10" t="s">
        <v>1</v>
      </c>
      <c r="E724" s="43"/>
      <c r="F724" s="29"/>
      <c r="G724" s="49"/>
      <c r="H724" s="29"/>
      <c r="I724" s="43"/>
      <c r="J724" s="35"/>
    </row>
    <row r="725" spans="1:10" ht="63.75">
      <c r="A725" s="17"/>
      <c r="B725" s="196" t="s">
        <v>247</v>
      </c>
      <c r="C725" s="60"/>
      <c r="D725" s="13" t="s">
        <v>339</v>
      </c>
      <c r="E725" s="13"/>
      <c r="F725" s="13"/>
      <c r="G725" s="13"/>
      <c r="H725" s="13"/>
      <c r="I725" s="13"/>
      <c r="J725" s="16"/>
    </row>
    <row r="726" spans="1:10">
      <c r="A726" s="17"/>
      <c r="B726" s="197"/>
      <c r="C726" s="122"/>
      <c r="D726" s="44" t="s">
        <v>18</v>
      </c>
      <c r="E726" s="43"/>
      <c r="F726" s="48"/>
      <c r="G726" s="49"/>
      <c r="H726" s="48"/>
      <c r="I726" s="43"/>
      <c r="J726" s="35"/>
    </row>
    <row r="727" spans="1:10" ht="38.25">
      <c r="A727" s="17"/>
      <c r="B727" s="123" t="s">
        <v>340</v>
      </c>
      <c r="C727" s="124">
        <v>1</v>
      </c>
      <c r="D727" s="13" t="s">
        <v>341</v>
      </c>
      <c r="E727" s="43">
        <v>1</v>
      </c>
      <c r="F727" s="29" t="s">
        <v>64</v>
      </c>
      <c r="G727" s="49">
        <v>1</v>
      </c>
      <c r="H727" s="29" t="s">
        <v>32</v>
      </c>
      <c r="I727" s="24">
        <v>452</v>
      </c>
      <c r="J727" s="35">
        <f>SUM(E727*I727/G727)</f>
        <v>452</v>
      </c>
    </row>
    <row r="728" spans="1:10">
      <c r="A728" s="17"/>
      <c r="B728" s="29"/>
      <c r="C728" s="30"/>
      <c r="D728" s="45" t="s">
        <v>181</v>
      </c>
      <c r="E728" s="43"/>
      <c r="F728" s="29"/>
      <c r="G728" s="49"/>
      <c r="H728" s="29"/>
      <c r="I728" s="47"/>
      <c r="J728" s="21">
        <f>SUM(J727:J727)</f>
        <v>452</v>
      </c>
    </row>
    <row r="729" spans="1:10">
      <c r="A729" s="177"/>
      <c r="B729" s="178"/>
      <c r="C729" s="179"/>
      <c r="D729" s="180" t="s">
        <v>301</v>
      </c>
      <c r="E729" s="181"/>
      <c r="F729" s="182"/>
      <c r="G729" s="183"/>
      <c r="H729" s="182"/>
      <c r="I729" s="184"/>
      <c r="J729" s="185">
        <f>J728*10.615%</f>
        <v>47.979800000000004</v>
      </c>
    </row>
    <row r="730" spans="1:10">
      <c r="A730" s="17"/>
      <c r="B730" s="29"/>
      <c r="C730" s="30"/>
      <c r="D730" s="18" t="s">
        <v>37</v>
      </c>
      <c r="E730" s="24"/>
      <c r="F730" s="25"/>
      <c r="G730" s="26"/>
      <c r="H730" s="25"/>
      <c r="I730" s="20"/>
      <c r="J730" s="36">
        <f>J729+J728</f>
        <v>499.97980000000001</v>
      </c>
    </row>
    <row r="731" spans="1:10">
      <c r="A731" s="17"/>
      <c r="B731" s="29"/>
      <c r="C731" s="30"/>
      <c r="D731" s="18" t="s">
        <v>38</v>
      </c>
      <c r="E731" s="24"/>
      <c r="F731" s="25"/>
      <c r="G731" s="26"/>
      <c r="H731" s="25"/>
      <c r="I731" s="20"/>
      <c r="J731" s="37">
        <f>ROUND(J730,0)</f>
        <v>500</v>
      </c>
    </row>
    <row r="732" spans="1:10">
      <c r="A732" s="38"/>
      <c r="B732" s="39"/>
      <c r="C732" s="40"/>
      <c r="D732" s="4" t="s">
        <v>342</v>
      </c>
      <c r="E732" s="41"/>
      <c r="F732" s="41"/>
      <c r="G732" s="41"/>
      <c r="H732" s="41"/>
      <c r="I732" s="41"/>
      <c r="J732" s="42"/>
    </row>
    <row r="733" spans="1:10">
      <c r="A733" s="17"/>
      <c r="B733" s="43"/>
      <c r="C733" s="47"/>
      <c r="D733" s="10" t="s">
        <v>1</v>
      </c>
      <c r="E733" s="43"/>
      <c r="F733" s="29"/>
      <c r="G733" s="49"/>
      <c r="H733" s="29"/>
      <c r="I733" s="43"/>
      <c r="J733" s="35"/>
    </row>
    <row r="734" spans="1:10" ht="51">
      <c r="A734" s="17"/>
      <c r="B734" s="196" t="s">
        <v>247</v>
      </c>
      <c r="C734" s="60"/>
      <c r="D734" s="13" t="s">
        <v>343</v>
      </c>
      <c r="E734" s="13"/>
      <c r="F734" s="13"/>
      <c r="G734" s="13"/>
      <c r="H734" s="13"/>
      <c r="I734" s="13"/>
      <c r="J734" s="16"/>
    </row>
    <row r="735" spans="1:10">
      <c r="A735" s="17"/>
      <c r="B735" s="197"/>
      <c r="C735" s="122"/>
      <c r="D735" s="44" t="s">
        <v>18</v>
      </c>
      <c r="E735" s="43"/>
      <c r="F735" s="48"/>
      <c r="G735" s="49"/>
      <c r="H735" s="48"/>
      <c r="I735" s="43"/>
      <c r="J735" s="35"/>
    </row>
    <row r="736" spans="1:10" ht="51">
      <c r="A736" s="17"/>
      <c r="B736" s="103" t="s">
        <v>344</v>
      </c>
      <c r="C736" s="124">
        <v>1</v>
      </c>
      <c r="D736" s="13" t="s">
        <v>345</v>
      </c>
      <c r="E736" s="43">
        <v>1</v>
      </c>
      <c r="F736" s="29" t="s">
        <v>64</v>
      </c>
      <c r="G736" s="49">
        <v>1</v>
      </c>
      <c r="H736" s="29" t="s">
        <v>32</v>
      </c>
      <c r="I736" s="24">
        <v>378</v>
      </c>
      <c r="J736" s="35">
        <f>SUM(E736*I736/G736)</f>
        <v>378</v>
      </c>
    </row>
    <row r="737" spans="1:10">
      <c r="A737" s="17"/>
      <c r="B737" s="29"/>
      <c r="C737" s="30"/>
      <c r="D737" s="45" t="s">
        <v>181</v>
      </c>
      <c r="E737" s="43"/>
      <c r="F737" s="29"/>
      <c r="G737" s="49"/>
      <c r="H737" s="29"/>
      <c r="I737" s="47"/>
      <c r="J737" s="21">
        <f>SUM(J736:J736)</f>
        <v>378</v>
      </c>
    </row>
    <row r="738" spans="1:10">
      <c r="A738" s="177"/>
      <c r="B738" s="178"/>
      <c r="C738" s="179"/>
      <c r="D738" s="180" t="s">
        <v>301</v>
      </c>
      <c r="E738" s="181"/>
      <c r="F738" s="182"/>
      <c r="G738" s="183"/>
      <c r="H738" s="182"/>
      <c r="I738" s="184"/>
      <c r="J738" s="185">
        <f>J737*10.615%</f>
        <v>40.124700000000004</v>
      </c>
    </row>
    <row r="739" spans="1:10">
      <c r="A739" s="17"/>
      <c r="B739" s="29"/>
      <c r="C739" s="30"/>
      <c r="D739" s="18" t="s">
        <v>37</v>
      </c>
      <c r="E739" s="24"/>
      <c r="F739" s="25"/>
      <c r="G739" s="26"/>
      <c r="H739" s="25"/>
      <c r="I739" s="20"/>
      <c r="J739" s="36">
        <f>J738+J737</f>
        <v>418.12470000000002</v>
      </c>
    </row>
    <row r="740" spans="1:10">
      <c r="A740" s="17"/>
      <c r="B740" s="29"/>
      <c r="C740" s="30"/>
      <c r="D740" s="18" t="s">
        <v>38</v>
      </c>
      <c r="E740" s="24"/>
      <c r="F740" s="25"/>
      <c r="G740" s="26"/>
      <c r="H740" s="25"/>
      <c r="I740" s="20"/>
      <c r="J740" s="37">
        <f>ROUND(J739,0)</f>
        <v>418</v>
      </c>
    </row>
    <row r="741" spans="1:10">
      <c r="A741" s="38"/>
      <c r="B741" s="39"/>
      <c r="C741" s="40"/>
      <c r="D741" s="4" t="s">
        <v>346</v>
      </c>
      <c r="E741" s="41"/>
      <c r="F741" s="41"/>
      <c r="G741" s="41"/>
      <c r="H741" s="41"/>
      <c r="I741" s="41"/>
      <c r="J741" s="42"/>
    </row>
    <row r="742" spans="1:10">
      <c r="A742" s="31"/>
      <c r="B742" s="26"/>
      <c r="C742" s="22"/>
      <c r="D742" s="10" t="s">
        <v>1</v>
      </c>
      <c r="E742" s="43"/>
      <c r="F742" s="29"/>
      <c r="G742" s="49"/>
      <c r="H742" s="29"/>
      <c r="I742" s="62"/>
      <c r="J742" s="21"/>
    </row>
    <row r="743" spans="1:10" ht="63.75">
      <c r="A743" s="31"/>
      <c r="B743" s="26" t="s">
        <v>313</v>
      </c>
      <c r="C743" s="22"/>
      <c r="D743" s="44" t="s">
        <v>347</v>
      </c>
      <c r="E743" s="44"/>
      <c r="F743" s="44"/>
      <c r="G743" s="44"/>
      <c r="H743" s="44"/>
      <c r="I743" s="44"/>
      <c r="J743" s="16"/>
    </row>
    <row r="744" spans="1:10">
      <c r="A744" s="31"/>
      <c r="B744" s="26"/>
      <c r="C744" s="22"/>
      <c r="D744" s="186" t="s">
        <v>315</v>
      </c>
      <c r="E744" s="35"/>
      <c r="F744" s="63"/>
      <c r="G744" s="129"/>
      <c r="H744" s="63"/>
      <c r="I744" s="21"/>
      <c r="J744" s="21"/>
    </row>
    <row r="745" spans="1:10">
      <c r="A745" s="31"/>
      <c r="B745" s="26"/>
      <c r="C745" s="22">
        <v>1</v>
      </c>
      <c r="D745" s="23" t="s">
        <v>9</v>
      </c>
      <c r="E745" s="35">
        <v>1</v>
      </c>
      <c r="F745" s="187" t="s">
        <v>10</v>
      </c>
      <c r="G745" s="129">
        <v>1</v>
      </c>
      <c r="H745" s="187" t="s">
        <v>10</v>
      </c>
      <c r="I745" s="188">
        <v>775</v>
      </c>
      <c r="J745" s="21">
        <f>SUM(E745*I745/G745)</f>
        <v>775</v>
      </c>
    </row>
    <row r="746" spans="1:10" ht="25.5">
      <c r="A746" s="31"/>
      <c r="B746" s="26"/>
      <c r="C746" s="22">
        <v>2</v>
      </c>
      <c r="D746" s="27" t="s">
        <v>11</v>
      </c>
      <c r="E746" s="35">
        <v>4</v>
      </c>
      <c r="F746" s="187" t="s">
        <v>10</v>
      </c>
      <c r="G746" s="129">
        <v>1</v>
      </c>
      <c r="H746" s="187" t="s">
        <v>10</v>
      </c>
      <c r="I746" s="188">
        <v>650</v>
      </c>
      <c r="J746" s="21">
        <f>SUM(E746*I746/G746)</f>
        <v>2600</v>
      </c>
    </row>
    <row r="747" spans="1:10">
      <c r="A747" s="31"/>
      <c r="B747" s="26"/>
      <c r="C747" s="22"/>
      <c r="D747" s="64" t="s">
        <v>316</v>
      </c>
      <c r="E747" s="35"/>
      <c r="F747" s="187"/>
      <c r="G747" s="129"/>
      <c r="H747" s="187"/>
      <c r="I747" s="21"/>
      <c r="J747" s="21">
        <f>SUM(J745:J746)</f>
        <v>3375</v>
      </c>
    </row>
    <row r="748" spans="1:10">
      <c r="A748" s="31"/>
      <c r="B748" s="26"/>
      <c r="C748" s="22"/>
      <c r="D748" s="64" t="s">
        <v>317</v>
      </c>
      <c r="E748" s="35"/>
      <c r="F748" s="187"/>
      <c r="G748" s="129"/>
      <c r="H748" s="187"/>
      <c r="I748" s="21"/>
      <c r="J748" s="21">
        <f>SUM(J747/100)</f>
        <v>33.75</v>
      </c>
    </row>
    <row r="749" spans="1:10">
      <c r="A749" s="31"/>
      <c r="B749" s="26"/>
      <c r="C749" s="22"/>
      <c r="D749" s="66" t="s">
        <v>43</v>
      </c>
      <c r="E749" s="31"/>
      <c r="F749" s="17"/>
      <c r="G749" s="26"/>
      <c r="H749" s="17"/>
      <c r="I749" s="20"/>
      <c r="J749" s="21">
        <f>J748*0.4</f>
        <v>13.5</v>
      </c>
    </row>
    <row r="750" spans="1:10">
      <c r="A750" s="31"/>
      <c r="B750" s="26"/>
      <c r="C750" s="22"/>
      <c r="D750" s="13" t="s">
        <v>17</v>
      </c>
      <c r="E750" s="31"/>
      <c r="F750" s="17"/>
      <c r="G750" s="26"/>
      <c r="H750" s="17"/>
      <c r="I750" s="20"/>
      <c r="J750" s="21">
        <f>SUM(J748:J749)</f>
        <v>47.25</v>
      </c>
    </row>
    <row r="751" spans="1:10">
      <c r="A751" s="31"/>
      <c r="B751" s="26"/>
      <c r="C751" s="22"/>
      <c r="D751" s="57" t="s">
        <v>318</v>
      </c>
      <c r="E751" s="35"/>
      <c r="F751" s="187"/>
      <c r="G751" s="129"/>
      <c r="H751" s="187"/>
      <c r="I751" s="21"/>
      <c r="J751" s="21"/>
    </row>
    <row r="752" spans="1:10" ht="25.5">
      <c r="A752" s="31"/>
      <c r="B752" s="26" t="s">
        <v>348</v>
      </c>
      <c r="C752" s="22">
        <v>3</v>
      </c>
      <c r="D752" s="116" t="s">
        <v>349</v>
      </c>
      <c r="E752" s="24">
        <v>400</v>
      </c>
      <c r="F752" s="25" t="s">
        <v>24</v>
      </c>
      <c r="G752" s="26">
        <v>100</v>
      </c>
      <c r="H752" s="25" t="s">
        <v>24</v>
      </c>
      <c r="I752" s="20">
        <v>142</v>
      </c>
      <c r="J752" s="21">
        <f>SUM(E752*I752/G752)</f>
        <v>568</v>
      </c>
    </row>
    <row r="753" spans="1:10" ht="38.25">
      <c r="A753" s="31"/>
      <c r="B753" s="26" t="s">
        <v>350</v>
      </c>
      <c r="C753" s="22">
        <v>4</v>
      </c>
      <c r="D753" s="105" t="s">
        <v>351</v>
      </c>
      <c r="E753" s="24">
        <v>200</v>
      </c>
      <c r="F753" s="25" t="s">
        <v>24</v>
      </c>
      <c r="G753" s="26">
        <v>100</v>
      </c>
      <c r="H753" s="25" t="s">
        <v>24</v>
      </c>
      <c r="I753" s="20">
        <v>468</v>
      </c>
      <c r="J753" s="21">
        <f>SUM(E753*I753/G753)</f>
        <v>936</v>
      </c>
    </row>
    <row r="754" spans="1:10">
      <c r="A754" s="31"/>
      <c r="B754" s="26"/>
      <c r="C754" s="22"/>
      <c r="D754" s="57" t="s">
        <v>323</v>
      </c>
      <c r="E754" s="35">
        <v>100</v>
      </c>
      <c r="F754" s="63" t="s">
        <v>64</v>
      </c>
      <c r="G754" s="129"/>
      <c r="H754" s="63"/>
      <c r="I754" s="21"/>
      <c r="J754" s="21">
        <f>SUM(J752:J753)</f>
        <v>1504</v>
      </c>
    </row>
    <row r="755" spans="1:10">
      <c r="A755" s="31"/>
      <c r="B755" s="26"/>
      <c r="C755" s="22"/>
      <c r="D755" s="57" t="s">
        <v>324</v>
      </c>
      <c r="E755" s="35">
        <v>1</v>
      </c>
      <c r="F755" s="63" t="s">
        <v>64</v>
      </c>
      <c r="G755" s="129"/>
      <c r="H755" s="187"/>
      <c r="I755" s="21"/>
      <c r="J755" s="21">
        <f>SUM(J754/100)</f>
        <v>15.04</v>
      </c>
    </row>
    <row r="756" spans="1:10">
      <c r="A756" s="31"/>
      <c r="B756" s="26"/>
      <c r="C756" s="22"/>
      <c r="D756" s="57" t="s">
        <v>35</v>
      </c>
      <c r="E756" s="63"/>
      <c r="F756" s="63"/>
      <c r="G756" s="63"/>
      <c r="H756" s="63"/>
      <c r="I756" s="62"/>
      <c r="J756" s="35">
        <f>J755+J750</f>
        <v>62.29</v>
      </c>
    </row>
    <row r="757" spans="1:10">
      <c r="A757" s="177"/>
      <c r="B757" s="178"/>
      <c r="C757" s="179"/>
      <c r="D757" s="180" t="s">
        <v>301</v>
      </c>
      <c r="E757" s="181"/>
      <c r="F757" s="182"/>
      <c r="G757" s="183"/>
      <c r="H757" s="182"/>
      <c r="I757" s="184"/>
      <c r="J757" s="185">
        <f>J756*10.615%</f>
        <v>6.6120835000000007</v>
      </c>
    </row>
    <row r="758" spans="1:10">
      <c r="A758" s="17"/>
      <c r="B758" s="29"/>
      <c r="C758" s="30"/>
      <c r="D758" s="18" t="s">
        <v>37</v>
      </c>
      <c r="E758" s="24"/>
      <c r="F758" s="25"/>
      <c r="G758" s="26"/>
      <c r="H758" s="25"/>
      <c r="I758" s="20"/>
      <c r="J758" s="36">
        <f>J757+J756</f>
        <v>68.902083500000003</v>
      </c>
    </row>
    <row r="759" spans="1:10">
      <c r="A759" s="17"/>
      <c r="B759" s="29"/>
      <c r="C759" s="30"/>
      <c r="D759" s="18" t="s">
        <v>38</v>
      </c>
      <c r="E759" s="24"/>
      <c r="F759" s="25"/>
      <c r="G759" s="26"/>
      <c r="H759" s="25"/>
      <c r="I759" s="20"/>
      <c r="J759" s="37">
        <f>ROUND(J758,0)</f>
        <v>69</v>
      </c>
    </row>
    <row r="760" spans="1:10">
      <c r="A760" s="38"/>
      <c r="B760" s="39"/>
      <c r="C760" s="40"/>
      <c r="D760" s="4" t="s">
        <v>352</v>
      </c>
      <c r="E760" s="41"/>
      <c r="F760" s="41"/>
      <c r="G760" s="41"/>
      <c r="H760" s="41"/>
      <c r="I760" s="41"/>
      <c r="J760" s="42"/>
    </row>
    <row r="761" spans="1:10">
      <c r="A761" s="17"/>
      <c r="B761" s="29"/>
      <c r="C761" s="46"/>
      <c r="D761" s="10" t="s">
        <v>1</v>
      </c>
      <c r="E761" s="29"/>
      <c r="F761" s="29"/>
      <c r="G761" s="29"/>
      <c r="H761" s="29"/>
      <c r="I761" s="29"/>
      <c r="J761" s="34"/>
    </row>
    <row r="762" spans="1:10" ht="114.75">
      <c r="A762" s="17"/>
      <c r="B762" s="107" t="s">
        <v>225</v>
      </c>
      <c r="C762" s="118"/>
      <c r="D762" s="44" t="s">
        <v>353</v>
      </c>
      <c r="E762" s="44"/>
      <c r="F762" s="44"/>
      <c r="G762" s="44"/>
      <c r="H762" s="44"/>
      <c r="I762" s="44"/>
      <c r="J762" s="16"/>
    </row>
    <row r="763" spans="1:10">
      <c r="A763" s="17"/>
      <c r="B763" s="29"/>
      <c r="C763" s="30"/>
      <c r="D763" s="44" t="s">
        <v>227</v>
      </c>
      <c r="E763" s="43"/>
      <c r="F763" s="29"/>
      <c r="G763" s="29"/>
      <c r="H763" s="29"/>
      <c r="I763" s="43"/>
      <c r="J763" s="34"/>
    </row>
    <row r="764" spans="1:10">
      <c r="A764" s="17"/>
      <c r="B764" s="29"/>
      <c r="C764" s="30">
        <v>1</v>
      </c>
      <c r="D764" s="23" t="s">
        <v>9</v>
      </c>
      <c r="E764" s="43">
        <v>0.5</v>
      </c>
      <c r="F764" s="29" t="s">
        <v>10</v>
      </c>
      <c r="G764" s="29">
        <v>1</v>
      </c>
      <c r="H764" s="29" t="s">
        <v>10</v>
      </c>
      <c r="I764" s="43">
        <v>775</v>
      </c>
      <c r="J764" s="34">
        <f>SUM(E764*I764/G764)</f>
        <v>387.5</v>
      </c>
    </row>
    <row r="765" spans="1:10" ht="25.5">
      <c r="A765" s="17"/>
      <c r="B765" s="29"/>
      <c r="C765" s="30">
        <v>2</v>
      </c>
      <c r="D765" s="27" t="s">
        <v>11</v>
      </c>
      <c r="E765" s="43">
        <v>1</v>
      </c>
      <c r="F765" s="29" t="s">
        <v>10</v>
      </c>
      <c r="G765" s="29">
        <v>1</v>
      </c>
      <c r="H765" s="29" t="s">
        <v>10</v>
      </c>
      <c r="I765" s="43">
        <v>650</v>
      </c>
      <c r="J765" s="21">
        <f>SUM(E765*I765/G765)</f>
        <v>650</v>
      </c>
    </row>
    <row r="766" spans="1:10">
      <c r="A766" s="17"/>
      <c r="B766" s="29"/>
      <c r="C766" s="30">
        <v>3</v>
      </c>
      <c r="D766" s="27" t="s">
        <v>12</v>
      </c>
      <c r="E766" s="24">
        <v>1</v>
      </c>
      <c r="F766" s="29" t="s">
        <v>10</v>
      </c>
      <c r="G766" s="29">
        <v>1</v>
      </c>
      <c r="H766" s="29" t="s">
        <v>10</v>
      </c>
      <c r="I766" s="43">
        <v>650</v>
      </c>
      <c r="J766" s="35">
        <f>SUM(E766*I766/G766)</f>
        <v>650</v>
      </c>
    </row>
    <row r="767" spans="1:10" ht="25.5">
      <c r="A767" s="17"/>
      <c r="B767" s="29"/>
      <c r="C767" s="30">
        <v>4</v>
      </c>
      <c r="D767" s="59" t="s">
        <v>228</v>
      </c>
      <c r="E767" s="43">
        <v>1</v>
      </c>
      <c r="F767" s="29" t="s">
        <v>10</v>
      </c>
      <c r="G767" s="29">
        <v>1</v>
      </c>
      <c r="H767" s="29" t="s">
        <v>10</v>
      </c>
      <c r="I767" s="43">
        <v>650</v>
      </c>
      <c r="J767" s="21">
        <f>SUM(E767*I767/G767)</f>
        <v>650</v>
      </c>
    </row>
    <row r="768" spans="1:10">
      <c r="A768" s="17"/>
      <c r="B768" s="29"/>
      <c r="C768" s="30"/>
      <c r="D768" s="44" t="s">
        <v>100</v>
      </c>
      <c r="E768" s="43"/>
      <c r="F768" s="29"/>
      <c r="G768" s="29"/>
      <c r="H768" s="29"/>
      <c r="I768" s="43"/>
      <c r="J768" s="34">
        <f>SUM(J764:J767)</f>
        <v>2337.5</v>
      </c>
    </row>
    <row r="769" spans="1:10">
      <c r="A769" s="17"/>
      <c r="B769" s="29"/>
      <c r="C769" s="30"/>
      <c r="D769" s="44" t="s">
        <v>43</v>
      </c>
      <c r="E769" s="50"/>
      <c r="F769" s="29"/>
      <c r="G769" s="49"/>
      <c r="H769" s="29"/>
      <c r="I769" s="47"/>
      <c r="J769" s="21">
        <f>J768*0.4</f>
        <v>935</v>
      </c>
    </row>
    <row r="770" spans="1:10">
      <c r="A770" s="17"/>
      <c r="B770" s="29"/>
      <c r="C770" s="30"/>
      <c r="D770" s="44" t="s">
        <v>44</v>
      </c>
      <c r="E770" s="50"/>
      <c r="F770" s="29"/>
      <c r="G770" s="49"/>
      <c r="H770" s="29"/>
      <c r="I770" s="47"/>
      <c r="J770" s="21">
        <f>SUM(J768:J769)</f>
        <v>3272.5</v>
      </c>
    </row>
    <row r="771" spans="1:10">
      <c r="A771" s="17"/>
      <c r="B771" s="29"/>
      <c r="C771" s="30"/>
      <c r="D771" s="44" t="s">
        <v>18</v>
      </c>
      <c r="E771" s="43"/>
      <c r="F771" s="29"/>
      <c r="G771" s="29"/>
      <c r="H771" s="29"/>
      <c r="I771" s="43"/>
      <c r="J771" s="34"/>
    </row>
    <row r="772" spans="1:10" ht="22.5">
      <c r="A772" s="17"/>
      <c r="B772" s="32" t="s">
        <v>19</v>
      </c>
      <c r="C772" s="30">
        <v>5</v>
      </c>
      <c r="D772" s="54" t="s">
        <v>229</v>
      </c>
      <c r="E772" s="43">
        <v>12.5</v>
      </c>
      <c r="F772" s="29" t="s">
        <v>21</v>
      </c>
      <c r="G772" s="29">
        <v>1</v>
      </c>
      <c r="H772" s="29" t="s">
        <v>21</v>
      </c>
      <c r="I772" s="43">
        <v>9</v>
      </c>
      <c r="J772" s="34">
        <f>SUM(E772*I772/G772)</f>
        <v>112.5</v>
      </c>
    </row>
    <row r="773" spans="1:10" ht="89.25">
      <c r="A773" s="17"/>
      <c r="B773" s="29" t="s">
        <v>354</v>
      </c>
      <c r="C773" s="30">
        <v>6</v>
      </c>
      <c r="D773" s="44" t="s">
        <v>355</v>
      </c>
      <c r="E773" s="29">
        <v>1</v>
      </c>
      <c r="F773" s="29" t="s">
        <v>24</v>
      </c>
      <c r="G773" s="29">
        <v>1</v>
      </c>
      <c r="H773" s="17" t="s">
        <v>29</v>
      </c>
      <c r="I773" s="24">
        <v>20895</v>
      </c>
      <c r="J773" s="35">
        <f>SUM(E773*I773/G773)</f>
        <v>20895</v>
      </c>
    </row>
    <row r="774" spans="1:10" ht="51">
      <c r="A774" s="17"/>
      <c r="B774" s="29" t="s">
        <v>356</v>
      </c>
      <c r="C774" s="30">
        <v>7</v>
      </c>
      <c r="D774" s="44" t="s">
        <v>357</v>
      </c>
      <c r="E774" s="29">
        <v>1</v>
      </c>
      <c r="F774" s="29" t="s">
        <v>24</v>
      </c>
      <c r="G774" s="29">
        <v>1</v>
      </c>
      <c r="H774" s="17" t="s">
        <v>29</v>
      </c>
      <c r="I774" s="24">
        <v>13770</v>
      </c>
      <c r="J774" s="35">
        <f>SUM(E774*I774/G774)</f>
        <v>13770</v>
      </c>
    </row>
    <row r="775" spans="1:10" ht="25.5">
      <c r="A775" s="17"/>
      <c r="B775" s="29" t="s">
        <v>358</v>
      </c>
      <c r="C775" s="30">
        <v>2</v>
      </c>
      <c r="D775" s="54" t="s">
        <v>359</v>
      </c>
      <c r="E775" s="26">
        <v>8</v>
      </c>
      <c r="F775" s="17" t="s">
        <v>24</v>
      </c>
      <c r="G775" s="26">
        <v>1</v>
      </c>
      <c r="H775" s="17" t="s">
        <v>29</v>
      </c>
      <c r="I775" s="20">
        <v>2494</v>
      </c>
      <c r="J775" s="35">
        <f>SUM(E775*I775/G775)</f>
        <v>19952</v>
      </c>
    </row>
    <row r="776" spans="1:10">
      <c r="A776" s="17"/>
      <c r="B776" s="29"/>
      <c r="C776" s="30"/>
      <c r="D776" s="18" t="s">
        <v>236</v>
      </c>
      <c r="E776" s="24"/>
      <c r="F776" s="29"/>
      <c r="G776" s="29"/>
      <c r="H776" s="17"/>
      <c r="I776" s="24"/>
      <c r="J776" s="35">
        <f>SUM(J772:J775)</f>
        <v>54729.5</v>
      </c>
    </row>
    <row r="777" spans="1:10">
      <c r="A777" s="17"/>
      <c r="B777" s="29"/>
      <c r="C777" s="30"/>
      <c r="D777" s="44" t="s">
        <v>35</v>
      </c>
      <c r="E777" s="29"/>
      <c r="F777" s="29"/>
      <c r="G777" s="29"/>
      <c r="H777" s="17"/>
      <c r="I777" s="29"/>
      <c r="J777" s="35">
        <f>J776+J770</f>
        <v>58002</v>
      </c>
    </row>
    <row r="778" spans="1:10">
      <c r="A778" s="17"/>
      <c r="B778" s="29"/>
      <c r="C778" s="30"/>
      <c r="D778" s="18" t="s">
        <v>36</v>
      </c>
      <c r="E778" s="24"/>
      <c r="F778" s="25"/>
      <c r="G778" s="26"/>
      <c r="H778" s="25"/>
      <c r="I778" s="20"/>
      <c r="J778" s="36">
        <f>(J777)*0.10615</f>
        <v>6156.9123</v>
      </c>
    </row>
    <row r="779" spans="1:10">
      <c r="A779" s="17"/>
      <c r="B779" s="29"/>
      <c r="C779" s="30"/>
      <c r="D779" s="18" t="s">
        <v>37</v>
      </c>
      <c r="E779" s="24"/>
      <c r="F779" s="25"/>
      <c r="G779" s="26"/>
      <c r="H779" s="25"/>
      <c r="I779" s="20"/>
      <c r="J779" s="36">
        <f>SUM(J777:J778)</f>
        <v>64158.912299999996</v>
      </c>
    </row>
    <row r="780" spans="1:10">
      <c r="A780" s="17"/>
      <c r="B780" s="29"/>
      <c r="C780" s="30"/>
      <c r="D780" s="18" t="s">
        <v>38</v>
      </c>
      <c r="E780" s="24"/>
      <c r="F780" s="25"/>
      <c r="G780" s="26"/>
      <c r="H780" s="25"/>
      <c r="I780" s="20"/>
      <c r="J780" s="37">
        <f>ROUND(J779,0)</f>
        <v>64159</v>
      </c>
    </row>
    <row r="781" spans="1:10">
      <c r="A781" s="38"/>
      <c r="B781" s="39"/>
      <c r="C781" s="40"/>
      <c r="D781" s="4" t="s">
        <v>360</v>
      </c>
      <c r="E781" s="41"/>
      <c r="F781" s="41"/>
      <c r="G781" s="41"/>
      <c r="H781" s="41"/>
      <c r="I781" s="41"/>
      <c r="J781" s="42"/>
    </row>
    <row r="782" spans="1:10">
      <c r="A782" s="17"/>
      <c r="B782" s="43"/>
      <c r="C782" s="47"/>
      <c r="D782" s="10" t="s">
        <v>1</v>
      </c>
      <c r="E782" s="43"/>
      <c r="F782" s="29"/>
      <c r="G782" s="49"/>
      <c r="H782" s="29"/>
      <c r="I782" s="43"/>
      <c r="J782" s="35"/>
    </row>
    <row r="783" spans="1:10" ht="63.75">
      <c r="A783" s="17"/>
      <c r="B783" s="43" t="s">
        <v>247</v>
      </c>
      <c r="C783" s="60"/>
      <c r="D783" s="13" t="s">
        <v>361</v>
      </c>
      <c r="E783" s="13"/>
      <c r="F783" s="13"/>
      <c r="G783" s="13"/>
      <c r="H783" s="13"/>
      <c r="I783" s="13"/>
      <c r="J783" s="16"/>
    </row>
    <row r="784" spans="1:10">
      <c r="A784" s="17"/>
      <c r="B784" s="121"/>
      <c r="C784" s="122"/>
      <c r="D784" s="44" t="s">
        <v>18</v>
      </c>
      <c r="E784" s="43"/>
      <c r="F784" s="48"/>
      <c r="G784" s="49"/>
      <c r="H784" s="48"/>
      <c r="I784" s="43"/>
      <c r="J784" s="35"/>
    </row>
    <row r="785" spans="1:10" ht="76.5">
      <c r="A785" s="17"/>
      <c r="B785" s="103" t="s">
        <v>362</v>
      </c>
      <c r="C785" s="124">
        <v>1</v>
      </c>
      <c r="D785" s="13" t="s">
        <v>363</v>
      </c>
      <c r="E785" s="43">
        <v>1</v>
      </c>
      <c r="F785" s="29" t="s">
        <v>64</v>
      </c>
      <c r="G785" s="49">
        <v>1</v>
      </c>
      <c r="H785" s="29" t="s">
        <v>64</v>
      </c>
      <c r="I785" s="24">
        <v>440</v>
      </c>
      <c r="J785" s="35">
        <f>SUM(E785*I785/G785)</f>
        <v>440</v>
      </c>
    </row>
    <row r="786" spans="1:10">
      <c r="A786" s="17"/>
      <c r="B786" s="29"/>
      <c r="C786" s="30"/>
      <c r="D786" s="45" t="s">
        <v>181</v>
      </c>
      <c r="E786" s="43"/>
      <c r="F786" s="29"/>
      <c r="G786" s="49"/>
      <c r="H786" s="29"/>
      <c r="I786" s="47"/>
      <c r="J786" s="21">
        <f>SUM(J785:J785)</f>
        <v>440</v>
      </c>
    </row>
    <row r="787" spans="1:10" ht="25.5">
      <c r="A787" s="17"/>
      <c r="B787" s="29" t="s">
        <v>306</v>
      </c>
      <c r="C787" s="30">
        <v>2</v>
      </c>
      <c r="D787" s="45" t="s">
        <v>307</v>
      </c>
      <c r="E787" s="43">
        <v>1</v>
      </c>
      <c r="F787" s="29" t="s">
        <v>64</v>
      </c>
      <c r="G787" s="49">
        <v>1</v>
      </c>
      <c r="H787" s="29" t="s">
        <v>64</v>
      </c>
      <c r="I787" s="24">
        <v>6</v>
      </c>
      <c r="J787" s="35">
        <f>SUM(E787*I787/G787)</f>
        <v>6</v>
      </c>
    </row>
    <row r="788" spans="1:10">
      <c r="A788" s="31"/>
      <c r="B788" s="26"/>
      <c r="C788" s="22"/>
      <c r="D788" s="18" t="s">
        <v>35</v>
      </c>
      <c r="E788" s="17"/>
      <c r="F788" s="17"/>
      <c r="G788" s="17"/>
      <c r="H788" s="31"/>
      <c r="I788" s="20"/>
      <c r="J788" s="21">
        <f>J787+J786</f>
        <v>446</v>
      </c>
    </row>
    <row r="789" spans="1:10">
      <c r="A789" s="17"/>
      <c r="B789" s="29"/>
      <c r="C789" s="30"/>
      <c r="D789" s="18" t="s">
        <v>36</v>
      </c>
      <c r="E789" s="24"/>
      <c r="F789" s="25"/>
      <c r="G789" s="26"/>
      <c r="H789" s="25"/>
      <c r="I789" s="20"/>
      <c r="J789" s="36">
        <f>(J788)*0.10615</f>
        <v>47.3429</v>
      </c>
    </row>
    <row r="790" spans="1:10">
      <c r="A790" s="17"/>
      <c r="B790" s="29"/>
      <c r="C790" s="30"/>
      <c r="D790" s="18" t="s">
        <v>37</v>
      </c>
      <c r="E790" s="24"/>
      <c r="F790" s="25"/>
      <c r="G790" s="26"/>
      <c r="H790" s="25"/>
      <c r="I790" s="20"/>
      <c r="J790" s="36">
        <f>SUM(J788:J789)</f>
        <v>493.34289999999999</v>
      </c>
    </row>
    <row r="791" spans="1:10">
      <c r="A791" s="17"/>
      <c r="B791" s="29"/>
      <c r="C791" s="30"/>
      <c r="D791" s="18" t="s">
        <v>38</v>
      </c>
      <c r="E791" s="24"/>
      <c r="F791" s="25"/>
      <c r="G791" s="26"/>
      <c r="H791" s="25"/>
      <c r="I791" s="20"/>
      <c r="J791" s="37">
        <f>ROUND(J790,0)</f>
        <v>493</v>
      </c>
    </row>
    <row r="792" spans="1:10">
      <c r="A792" s="38"/>
      <c r="B792" s="39"/>
      <c r="C792" s="40"/>
      <c r="D792" s="4" t="s">
        <v>237</v>
      </c>
      <c r="E792" s="41"/>
      <c r="F792" s="41"/>
      <c r="G792" s="41"/>
      <c r="H792" s="41"/>
      <c r="I792" s="41"/>
      <c r="J792" s="42"/>
    </row>
    <row r="793" spans="1:10">
      <c r="A793" s="31"/>
      <c r="B793" s="63"/>
      <c r="C793" s="64"/>
      <c r="D793" s="10" t="s">
        <v>1</v>
      </c>
      <c r="E793" s="34"/>
      <c r="F793" s="34"/>
      <c r="G793" s="34"/>
      <c r="H793" s="34"/>
      <c r="I793" s="34"/>
      <c r="J793" s="21"/>
    </row>
    <row r="794" spans="1:10" ht="114.75">
      <c r="A794" s="31"/>
      <c r="B794" s="63" t="s">
        <v>238</v>
      </c>
      <c r="C794" s="64"/>
      <c r="D794" s="13" t="s">
        <v>364</v>
      </c>
      <c r="E794" s="13"/>
      <c r="F794" s="13"/>
      <c r="G794" s="13"/>
      <c r="H794" s="13"/>
      <c r="I794" s="13"/>
      <c r="J794" s="16"/>
    </row>
    <row r="795" spans="1:10">
      <c r="A795" s="31"/>
      <c r="B795" s="63"/>
      <c r="C795" s="64"/>
      <c r="D795" s="45" t="s">
        <v>240</v>
      </c>
      <c r="E795" s="43"/>
      <c r="F795" s="29"/>
      <c r="G795" s="49"/>
      <c r="H795" s="29"/>
      <c r="I795" s="47"/>
      <c r="J795" s="21"/>
    </row>
    <row r="796" spans="1:10">
      <c r="A796" s="31"/>
      <c r="B796" s="63"/>
      <c r="C796" s="34">
        <v>1</v>
      </c>
      <c r="D796" s="23" t="s">
        <v>9</v>
      </c>
      <c r="E796" s="119">
        <v>0.5</v>
      </c>
      <c r="F796" s="48" t="s">
        <v>10</v>
      </c>
      <c r="G796" s="49">
        <v>1</v>
      </c>
      <c r="H796" s="48" t="s">
        <v>10</v>
      </c>
      <c r="I796" s="20">
        <v>775</v>
      </c>
      <c r="J796" s="21">
        <f>SUM(E796*I796/G796)</f>
        <v>387.5</v>
      </c>
    </row>
    <row r="797" spans="1:10" ht="25.5">
      <c r="A797" s="31"/>
      <c r="B797" s="63"/>
      <c r="C797" s="34">
        <v>2</v>
      </c>
      <c r="D797" s="27" t="s">
        <v>11</v>
      </c>
      <c r="E797" s="119">
        <v>0.5</v>
      </c>
      <c r="F797" s="48" t="s">
        <v>10</v>
      </c>
      <c r="G797" s="49">
        <v>1</v>
      </c>
      <c r="H797" s="48" t="s">
        <v>10</v>
      </c>
      <c r="I797" s="20">
        <v>650</v>
      </c>
      <c r="J797" s="21">
        <f>SUM(E797*I797/G797)</f>
        <v>325</v>
      </c>
    </row>
    <row r="798" spans="1:10">
      <c r="A798" s="17"/>
      <c r="B798" s="17"/>
      <c r="C798" s="31">
        <v>3</v>
      </c>
      <c r="D798" s="27" t="s">
        <v>12</v>
      </c>
      <c r="E798" s="24">
        <v>1</v>
      </c>
      <c r="F798" s="25" t="s">
        <v>10</v>
      </c>
      <c r="G798" s="26">
        <v>1</v>
      </c>
      <c r="H798" s="25" t="s">
        <v>10</v>
      </c>
      <c r="I798" s="20">
        <v>650</v>
      </c>
      <c r="J798" s="21">
        <f>SUM(E798*I798/G798)</f>
        <v>650</v>
      </c>
    </row>
    <row r="799" spans="1:10" ht="25.5">
      <c r="A799" s="31"/>
      <c r="B799" s="63"/>
      <c r="C799" s="34">
        <v>4</v>
      </c>
      <c r="D799" s="59" t="s">
        <v>228</v>
      </c>
      <c r="E799" s="20">
        <v>0.5</v>
      </c>
      <c r="F799" s="25" t="s">
        <v>10</v>
      </c>
      <c r="G799" s="26">
        <v>1</v>
      </c>
      <c r="H799" s="25" t="s">
        <v>10</v>
      </c>
      <c r="I799" s="20">
        <v>650</v>
      </c>
      <c r="J799" s="21">
        <f>SUM(E799*I799/G799)</f>
        <v>325</v>
      </c>
    </row>
    <row r="800" spans="1:10">
      <c r="A800" s="31"/>
      <c r="B800" s="63"/>
      <c r="C800" s="34"/>
      <c r="D800" s="120" t="s">
        <v>241</v>
      </c>
      <c r="E800" s="31"/>
      <c r="F800" s="25"/>
      <c r="G800" s="26"/>
      <c r="H800" s="25"/>
      <c r="I800" s="20"/>
      <c r="J800" s="21">
        <f>SUM(J796:J799)</f>
        <v>1687.5</v>
      </c>
    </row>
    <row r="801" spans="1:10">
      <c r="A801" s="31"/>
      <c r="B801" s="26"/>
      <c r="C801" s="22"/>
      <c r="D801" s="66" t="s">
        <v>43</v>
      </c>
      <c r="E801" s="31"/>
      <c r="F801" s="17"/>
      <c r="G801" s="26"/>
      <c r="H801" s="17"/>
      <c r="I801" s="20"/>
      <c r="J801" s="21">
        <f>J800*0.4</f>
        <v>675</v>
      </c>
    </row>
    <row r="802" spans="1:10">
      <c r="A802" s="31"/>
      <c r="B802" s="26"/>
      <c r="C802" s="22"/>
      <c r="D802" s="13" t="s">
        <v>17</v>
      </c>
      <c r="E802" s="31"/>
      <c r="F802" s="17"/>
      <c r="G802" s="26"/>
      <c r="H802" s="17"/>
      <c r="I802" s="20"/>
      <c r="J802" s="21">
        <f>SUM(J800:J801)</f>
        <v>2362.5</v>
      </c>
    </row>
    <row r="803" spans="1:10">
      <c r="A803" s="31"/>
      <c r="B803" s="63"/>
      <c r="C803" s="34"/>
      <c r="D803" s="45" t="s">
        <v>242</v>
      </c>
      <c r="E803" s="43"/>
      <c r="F803" s="48"/>
      <c r="G803" s="49"/>
      <c r="H803" s="48"/>
      <c r="I803" s="47"/>
      <c r="J803" s="21"/>
    </row>
    <row r="804" spans="1:10" ht="25.5">
      <c r="A804" s="17"/>
      <c r="B804" s="29" t="s">
        <v>19</v>
      </c>
      <c r="C804" s="30">
        <v>5</v>
      </c>
      <c r="D804" s="54" t="s">
        <v>229</v>
      </c>
      <c r="E804" s="43">
        <v>4</v>
      </c>
      <c r="F804" s="29" t="s">
        <v>21</v>
      </c>
      <c r="G804" s="29">
        <v>1</v>
      </c>
      <c r="H804" s="29" t="s">
        <v>21</v>
      </c>
      <c r="I804" s="43">
        <v>9</v>
      </c>
      <c r="J804" s="34">
        <f>SUM(E804*I804/G804)</f>
        <v>36</v>
      </c>
    </row>
    <row r="805" spans="1:10" ht="76.5">
      <c r="A805" s="31"/>
      <c r="B805" s="63" t="s">
        <v>243</v>
      </c>
      <c r="C805" s="34">
        <v>6</v>
      </c>
      <c r="D805" s="54" t="s">
        <v>244</v>
      </c>
      <c r="E805" s="26">
        <v>1</v>
      </c>
      <c r="F805" s="17" t="s">
        <v>24</v>
      </c>
      <c r="G805" s="26">
        <v>1</v>
      </c>
      <c r="H805" s="17" t="s">
        <v>29</v>
      </c>
      <c r="I805" s="20">
        <v>2310</v>
      </c>
      <c r="J805" s="21">
        <f>SUM(E805*I805/G805)</f>
        <v>2310</v>
      </c>
    </row>
    <row r="806" spans="1:10" ht="25.5">
      <c r="A806" s="63"/>
      <c r="B806" s="63" t="s">
        <v>365</v>
      </c>
      <c r="C806" s="34">
        <v>3</v>
      </c>
      <c r="D806" s="120" t="s">
        <v>366</v>
      </c>
      <c r="E806" s="129">
        <v>1</v>
      </c>
      <c r="F806" s="63" t="s">
        <v>29</v>
      </c>
      <c r="G806" s="129">
        <v>1</v>
      </c>
      <c r="H806" s="63" t="s">
        <v>29</v>
      </c>
      <c r="I806" s="21">
        <v>3310</v>
      </c>
      <c r="J806" s="35">
        <f>SUM(E806*I806/G806)</f>
        <v>3310</v>
      </c>
    </row>
    <row r="807" spans="1:10" ht="25.5">
      <c r="A807" s="17"/>
      <c r="B807" s="29" t="s">
        <v>234</v>
      </c>
      <c r="C807" s="30">
        <v>2</v>
      </c>
      <c r="D807" s="54" t="s">
        <v>367</v>
      </c>
      <c r="E807" s="26">
        <v>4</v>
      </c>
      <c r="F807" s="17" t="s">
        <v>29</v>
      </c>
      <c r="G807" s="26">
        <v>1</v>
      </c>
      <c r="H807" s="17" t="s">
        <v>29</v>
      </c>
      <c r="I807" s="20">
        <v>340</v>
      </c>
      <c r="J807" s="35">
        <f>SUM(E807*I807/G807)</f>
        <v>1360</v>
      </c>
    </row>
    <row r="808" spans="1:10">
      <c r="A808" s="31"/>
      <c r="B808" s="63"/>
      <c r="C808" s="64"/>
      <c r="D808" s="18" t="s">
        <v>141</v>
      </c>
      <c r="E808" s="24"/>
      <c r="F808" s="25"/>
      <c r="G808" s="26"/>
      <c r="H808" s="25"/>
      <c r="I808" s="20"/>
      <c r="J808" s="21">
        <f>SUM(J805:J807)</f>
        <v>6980</v>
      </c>
    </row>
    <row r="809" spans="1:10">
      <c r="A809" s="31"/>
      <c r="B809" s="63"/>
      <c r="C809" s="64"/>
      <c r="D809" s="18" t="s">
        <v>35</v>
      </c>
      <c r="E809" s="24"/>
      <c r="F809" s="25"/>
      <c r="G809" s="26"/>
      <c r="H809" s="25"/>
      <c r="I809" s="20"/>
      <c r="J809" s="21">
        <f>J808+J802</f>
        <v>9342.5</v>
      </c>
    </row>
    <row r="810" spans="1:10">
      <c r="A810" s="17"/>
      <c r="B810" s="29"/>
      <c r="C810" s="30"/>
      <c r="D810" s="18" t="s">
        <v>36</v>
      </c>
      <c r="E810" s="24"/>
      <c r="F810" s="25"/>
      <c r="G810" s="26"/>
      <c r="H810" s="25"/>
      <c r="I810" s="20"/>
      <c r="J810" s="36">
        <f>(J809)*0.10615</f>
        <v>991.70637499999998</v>
      </c>
    </row>
    <row r="811" spans="1:10">
      <c r="A811" s="17"/>
      <c r="B811" s="29"/>
      <c r="C811" s="30"/>
      <c r="D811" s="18" t="s">
        <v>37</v>
      </c>
      <c r="E811" s="24"/>
      <c r="F811" s="25"/>
      <c r="G811" s="26"/>
      <c r="H811" s="25"/>
      <c r="I811" s="20"/>
      <c r="J811" s="36">
        <f>SUM(J809:J810)</f>
        <v>10334.206375</v>
      </c>
    </row>
    <row r="812" spans="1:10">
      <c r="A812" s="17"/>
      <c r="B812" s="29"/>
      <c r="C812" s="30"/>
      <c r="D812" s="18" t="s">
        <v>38</v>
      </c>
      <c r="E812" s="24"/>
      <c r="F812" s="25"/>
      <c r="G812" s="26"/>
      <c r="H812" s="25"/>
      <c r="I812" s="20"/>
      <c r="J812" s="37">
        <f>ROUND(J811,0)</f>
        <v>10334</v>
      </c>
    </row>
    <row r="813" spans="1:10">
      <c r="A813" s="38"/>
      <c r="B813" s="39"/>
      <c r="C813" s="40"/>
      <c r="D813" s="4" t="s">
        <v>368</v>
      </c>
      <c r="E813" s="41"/>
      <c r="F813" s="41"/>
      <c r="G813" s="41"/>
      <c r="H813" s="41"/>
      <c r="I813" s="41"/>
      <c r="J813" s="42"/>
    </row>
    <row r="814" spans="1:10">
      <c r="A814" s="31"/>
      <c r="B814" s="63"/>
      <c r="C814" s="64"/>
      <c r="D814" s="10" t="s">
        <v>1</v>
      </c>
      <c r="E814" s="34"/>
      <c r="F814" s="34"/>
      <c r="G814" s="34"/>
      <c r="H814" s="34"/>
      <c r="I814" s="34"/>
      <c r="J814" s="21"/>
    </row>
    <row r="815" spans="1:10" ht="25.5">
      <c r="A815" s="31"/>
      <c r="B815" s="63"/>
      <c r="C815" s="64"/>
      <c r="D815" s="13" t="s">
        <v>369</v>
      </c>
      <c r="E815" s="13"/>
      <c r="F815" s="13"/>
      <c r="G815" s="13"/>
      <c r="H815" s="13"/>
      <c r="I815" s="13"/>
      <c r="J815" s="16"/>
    </row>
    <row r="816" spans="1:10">
      <c r="A816" s="31"/>
      <c r="B816" s="63"/>
      <c r="C816" s="64"/>
      <c r="D816" s="45" t="s">
        <v>240</v>
      </c>
      <c r="E816" s="43"/>
      <c r="F816" s="29"/>
      <c r="G816" s="49"/>
      <c r="H816" s="29"/>
      <c r="I816" s="47"/>
      <c r="J816" s="21"/>
    </row>
    <row r="817" spans="1:10" ht="25.5">
      <c r="A817" s="31"/>
      <c r="B817" s="63" t="s">
        <v>370</v>
      </c>
      <c r="C817" s="34">
        <v>1</v>
      </c>
      <c r="D817" s="23" t="s">
        <v>9</v>
      </c>
      <c r="E817" s="119">
        <v>5</v>
      </c>
      <c r="F817" s="48" t="s">
        <v>10</v>
      </c>
      <c r="G817" s="49">
        <v>1</v>
      </c>
      <c r="H817" s="48" t="s">
        <v>10</v>
      </c>
      <c r="I817" s="20">
        <v>775</v>
      </c>
      <c r="J817" s="21">
        <f>SUM(E817*I817/G817)</f>
        <v>3875</v>
      </c>
    </row>
    <row r="818" spans="1:10" ht="25.5">
      <c r="A818" s="31"/>
      <c r="B818" s="63"/>
      <c r="C818" s="34">
        <v>4</v>
      </c>
      <c r="D818" s="59" t="s">
        <v>228</v>
      </c>
      <c r="E818" s="20">
        <v>1</v>
      </c>
      <c r="F818" s="25" t="s">
        <v>10</v>
      </c>
      <c r="G818" s="26">
        <v>1</v>
      </c>
      <c r="H818" s="25" t="s">
        <v>10</v>
      </c>
      <c r="I818" s="20">
        <v>650</v>
      </c>
      <c r="J818" s="21">
        <f>SUM(E818*I818/G818)</f>
        <v>650</v>
      </c>
    </row>
    <row r="819" spans="1:10">
      <c r="A819" s="31"/>
      <c r="B819" s="63"/>
      <c r="C819" s="34"/>
      <c r="D819" s="120" t="s">
        <v>241</v>
      </c>
      <c r="E819" s="31"/>
      <c r="F819" s="25"/>
      <c r="G819" s="26"/>
      <c r="H819" s="25"/>
      <c r="I819" s="20"/>
      <c r="J819" s="21">
        <f>SUM(J817:J818)</f>
        <v>4525</v>
      </c>
    </row>
    <row r="820" spans="1:10">
      <c r="A820" s="31"/>
      <c r="B820" s="26"/>
      <c r="C820" s="22"/>
      <c r="D820" s="13" t="s">
        <v>17</v>
      </c>
      <c r="E820" s="31"/>
      <c r="F820" s="17"/>
      <c r="G820" s="26"/>
      <c r="H820" s="17"/>
      <c r="I820" s="20"/>
      <c r="J820" s="21">
        <f>SUM(J819:J819)</f>
        <v>4525</v>
      </c>
    </row>
    <row r="821" spans="1:10">
      <c r="A821" s="31"/>
      <c r="B821" s="63"/>
      <c r="C821" s="64"/>
      <c r="D821" s="18" t="s">
        <v>371</v>
      </c>
      <c r="E821" s="24"/>
      <c r="F821" s="25"/>
      <c r="G821" s="26"/>
      <c r="H821" s="25"/>
      <c r="I821" s="20"/>
      <c r="J821" s="21">
        <f>J820</f>
        <v>4525</v>
      </c>
    </row>
    <row r="822" spans="1:10">
      <c r="A822" s="17"/>
      <c r="B822" s="29"/>
      <c r="C822" s="30"/>
      <c r="D822" s="18" t="s">
        <v>36</v>
      </c>
      <c r="E822" s="24"/>
      <c r="F822" s="25"/>
      <c r="G822" s="26"/>
      <c r="H822" s="25"/>
      <c r="I822" s="20"/>
      <c r="J822" s="36">
        <f>(J821)*0.10615</f>
        <v>480.32874999999996</v>
      </c>
    </row>
    <row r="823" spans="1:10">
      <c r="A823" s="17"/>
      <c r="B823" s="29"/>
      <c r="C823" s="30"/>
      <c r="D823" s="18" t="s">
        <v>37</v>
      </c>
      <c r="E823" s="24"/>
      <c r="F823" s="25"/>
      <c r="G823" s="26"/>
      <c r="H823" s="25"/>
      <c r="I823" s="20"/>
      <c r="J823" s="36">
        <f>SUM(J821:J822)</f>
        <v>5005.3287499999997</v>
      </c>
    </row>
    <row r="824" spans="1:10">
      <c r="A824" s="17"/>
      <c r="B824" s="29"/>
      <c r="C824" s="30"/>
      <c r="D824" s="18" t="s">
        <v>38</v>
      </c>
      <c r="E824" s="24"/>
      <c r="F824" s="25"/>
      <c r="G824" s="26"/>
      <c r="H824" s="25"/>
      <c r="I824" s="20"/>
      <c r="J824" s="37">
        <f>ROUND(J823,0)</f>
        <v>5005</v>
      </c>
    </row>
    <row r="825" spans="1:10" ht="23.25">
      <c r="A825" s="130"/>
      <c r="B825" s="130"/>
      <c r="C825" s="131"/>
      <c r="D825" s="198" t="s">
        <v>372</v>
      </c>
      <c r="E825" s="130"/>
      <c r="F825" s="130"/>
      <c r="G825" s="130"/>
      <c r="H825" s="130"/>
      <c r="I825" s="130"/>
      <c r="J825" s="133"/>
    </row>
    <row r="826" spans="1:10" ht="23.25">
      <c r="A826" s="199"/>
      <c r="B826" s="199"/>
      <c r="C826" s="200"/>
      <c r="D826" s="10" t="s">
        <v>1</v>
      </c>
      <c r="E826" s="199"/>
      <c r="F826" s="199"/>
      <c r="G826" s="199"/>
      <c r="H826" s="199"/>
      <c r="I826" s="199"/>
      <c r="J826" s="201"/>
    </row>
    <row r="827" spans="1:10" ht="25.5">
      <c r="A827" s="17"/>
      <c r="B827" s="196" t="s">
        <v>247</v>
      </c>
      <c r="C827" s="60"/>
      <c r="D827" s="13" t="s">
        <v>373</v>
      </c>
      <c r="E827" s="13"/>
      <c r="F827" s="13"/>
      <c r="G827" s="13"/>
      <c r="H827" s="13"/>
      <c r="I827" s="13"/>
      <c r="J827" s="16"/>
    </row>
    <row r="828" spans="1:10">
      <c r="A828" s="17"/>
      <c r="B828" s="197"/>
      <c r="C828" s="122"/>
      <c r="D828" s="44" t="s">
        <v>18</v>
      </c>
      <c r="E828" s="43"/>
      <c r="F828" s="48"/>
      <c r="G828" s="49"/>
      <c r="H828" s="48"/>
      <c r="I828" s="43"/>
      <c r="J828" s="35"/>
    </row>
    <row r="829" spans="1:10" ht="25.5">
      <c r="A829" s="17"/>
      <c r="B829" s="103" t="s">
        <v>374</v>
      </c>
      <c r="C829" s="202">
        <v>1</v>
      </c>
      <c r="D829" s="13" t="s">
        <v>373</v>
      </c>
      <c r="E829" s="43">
        <v>100</v>
      </c>
      <c r="F829" s="29" t="s">
        <v>64</v>
      </c>
      <c r="G829" s="49">
        <v>100</v>
      </c>
      <c r="H829" s="29" t="s">
        <v>64</v>
      </c>
      <c r="I829" s="24">
        <v>3066</v>
      </c>
      <c r="J829" s="35">
        <f>SUM(E829*I829/G829)</f>
        <v>3066</v>
      </c>
    </row>
    <row r="830" spans="1:10">
      <c r="A830" s="17"/>
      <c r="B830" s="29"/>
      <c r="C830" s="30"/>
      <c r="D830" s="45" t="s">
        <v>202</v>
      </c>
      <c r="E830" s="43"/>
      <c r="F830" s="29"/>
      <c r="G830" s="49"/>
      <c r="H830" s="29"/>
      <c r="I830" s="47"/>
      <c r="J830" s="21">
        <f>SUM(J829:J829)</f>
        <v>3066</v>
      </c>
    </row>
    <row r="831" spans="1:10">
      <c r="A831" s="17"/>
      <c r="B831" s="29"/>
      <c r="C831" s="30"/>
      <c r="D831" s="45" t="s">
        <v>203</v>
      </c>
      <c r="E831" s="43"/>
      <c r="F831" s="29"/>
      <c r="G831" s="49"/>
      <c r="H831" s="29"/>
      <c r="I831" s="47"/>
      <c r="J831" s="21">
        <f>SUM(J830/100)</f>
        <v>30.66</v>
      </c>
    </row>
    <row r="832" spans="1:10">
      <c r="A832" s="17"/>
      <c r="B832" s="29"/>
      <c r="C832" s="30"/>
      <c r="D832" s="18" t="s">
        <v>36</v>
      </c>
      <c r="E832" s="24"/>
      <c r="F832" s="25"/>
      <c r="G832" s="26"/>
      <c r="H832" s="25"/>
      <c r="I832" s="20"/>
      <c r="J832" s="36">
        <f>(J831)*0.10615</f>
        <v>3.254559</v>
      </c>
    </row>
    <row r="833" spans="1:10">
      <c r="A833" s="17"/>
      <c r="B833" s="29"/>
      <c r="C833" s="30"/>
      <c r="D833" s="18" t="s">
        <v>375</v>
      </c>
      <c r="E833" s="24"/>
      <c r="F833" s="25"/>
      <c r="G833" s="26"/>
      <c r="H833" s="25"/>
      <c r="I833" s="20"/>
      <c r="J833" s="36">
        <f>J832+J831</f>
        <v>33.914558999999997</v>
      </c>
    </row>
    <row r="834" spans="1:10">
      <c r="A834" s="17"/>
      <c r="B834" s="29"/>
      <c r="C834" s="30"/>
      <c r="D834" s="18" t="s">
        <v>38</v>
      </c>
      <c r="E834" s="43"/>
      <c r="F834" s="29"/>
      <c r="G834" s="49"/>
      <c r="H834" s="29"/>
      <c r="I834" s="47"/>
      <c r="J834" s="21">
        <f>ROUND(J833,0)</f>
        <v>34</v>
      </c>
    </row>
    <row r="835" spans="1:10">
      <c r="A835" s="17"/>
      <c r="B835" s="43"/>
      <c r="C835" s="47"/>
      <c r="D835" s="17" t="s">
        <v>376</v>
      </c>
      <c r="E835" s="43"/>
      <c r="F835" s="29"/>
      <c r="G835" s="49"/>
      <c r="H835" s="29"/>
      <c r="I835" s="43"/>
      <c r="J835" s="35"/>
    </row>
    <row r="836" spans="1:10" ht="23.25">
      <c r="A836" s="130"/>
      <c r="B836" s="130"/>
      <c r="C836" s="131"/>
      <c r="D836" s="198" t="s">
        <v>377</v>
      </c>
      <c r="E836" s="130"/>
      <c r="F836" s="130"/>
      <c r="G836" s="130"/>
      <c r="H836" s="130"/>
      <c r="I836" s="130"/>
      <c r="J836" s="133"/>
    </row>
    <row r="837" spans="1:10" ht="23.25">
      <c r="A837" s="199"/>
      <c r="B837" s="199"/>
      <c r="C837" s="200"/>
      <c r="D837" s="203" t="s">
        <v>378</v>
      </c>
      <c r="E837" s="199"/>
      <c r="F837" s="199"/>
      <c r="G837" s="199"/>
      <c r="H837" s="199"/>
      <c r="I837" s="199"/>
      <c r="J837" s="201"/>
    </row>
    <row r="838" spans="1:10" ht="25.5">
      <c r="A838" s="17"/>
      <c r="B838" s="196" t="s">
        <v>247</v>
      </c>
      <c r="C838" s="60"/>
      <c r="D838" s="13" t="s">
        <v>379</v>
      </c>
      <c r="E838" s="13"/>
      <c r="F838" s="13"/>
      <c r="G838" s="13"/>
      <c r="H838" s="13"/>
      <c r="I838" s="13"/>
      <c r="J838" s="16"/>
    </row>
    <row r="839" spans="1:10">
      <c r="A839" s="17"/>
      <c r="B839" s="63"/>
      <c r="C839" s="64"/>
      <c r="D839" s="44" t="s">
        <v>18</v>
      </c>
      <c r="E839" s="43"/>
      <c r="F839" s="48"/>
      <c r="G839" s="49"/>
      <c r="H839" s="48"/>
      <c r="I839" s="43"/>
      <c r="J839" s="35"/>
    </row>
    <row r="840" spans="1:10" ht="38.25">
      <c r="A840" s="17"/>
      <c r="B840" s="103" t="s">
        <v>380</v>
      </c>
      <c r="C840" s="124">
        <v>1</v>
      </c>
      <c r="D840" s="13" t="s">
        <v>381</v>
      </c>
      <c r="E840" s="43">
        <v>1</v>
      </c>
      <c r="F840" s="29" t="s">
        <v>24</v>
      </c>
      <c r="G840" s="49">
        <v>1</v>
      </c>
      <c r="H840" s="29" t="s">
        <v>24</v>
      </c>
      <c r="I840" s="24">
        <v>2289</v>
      </c>
      <c r="J840" s="35">
        <f>SUM(E840*I840/G840)</f>
        <v>2289</v>
      </c>
    </row>
    <row r="841" spans="1:10">
      <c r="A841" s="17"/>
      <c r="B841" s="29"/>
      <c r="C841" s="30"/>
      <c r="D841" s="45" t="s">
        <v>181</v>
      </c>
      <c r="E841" s="43"/>
      <c r="F841" s="29"/>
      <c r="G841" s="49"/>
      <c r="H841" s="29"/>
      <c r="I841" s="47"/>
      <c r="J841" s="21">
        <f>SUM(J840:J840)</f>
        <v>2289</v>
      </c>
    </row>
    <row r="842" spans="1:10">
      <c r="A842" s="17"/>
      <c r="B842" s="29"/>
      <c r="C842" s="30"/>
      <c r="D842" s="18" t="s">
        <v>36</v>
      </c>
      <c r="E842" s="24"/>
      <c r="F842" s="25"/>
      <c r="G842" s="26"/>
      <c r="H842" s="25"/>
      <c r="I842" s="20"/>
      <c r="J842" s="36">
        <f>(J841)*0.10615</f>
        <v>242.97735</v>
      </c>
    </row>
    <row r="843" spans="1:10">
      <c r="A843" s="17"/>
      <c r="B843" s="29"/>
      <c r="C843" s="30"/>
      <c r="D843" s="18" t="s">
        <v>375</v>
      </c>
      <c r="E843" s="24"/>
      <c r="F843" s="25"/>
      <c r="G843" s="26"/>
      <c r="H843" s="25"/>
      <c r="I843" s="20"/>
      <c r="J843" s="36">
        <f>J842+J841</f>
        <v>2531.9773500000001</v>
      </c>
    </row>
    <row r="844" spans="1:10">
      <c r="A844" s="17"/>
      <c r="B844" s="29"/>
      <c r="C844" s="30"/>
      <c r="D844" s="18" t="s">
        <v>38</v>
      </c>
      <c r="E844" s="43"/>
      <c r="F844" s="29"/>
      <c r="G844" s="49"/>
      <c r="H844" s="29"/>
      <c r="I844" s="47"/>
      <c r="J844" s="21">
        <f>ROUND(J843,0)</f>
        <v>2532</v>
      </c>
    </row>
    <row r="845" spans="1:10" ht="23.25">
      <c r="A845" s="130"/>
      <c r="B845" s="130"/>
      <c r="C845" s="131"/>
      <c r="D845" s="198" t="s">
        <v>382</v>
      </c>
      <c r="E845" s="130"/>
      <c r="F845" s="130"/>
      <c r="G845" s="130"/>
      <c r="H845" s="130"/>
      <c r="I845" s="130"/>
      <c r="J845" s="133"/>
    </row>
    <row r="846" spans="1:10">
      <c r="A846" s="17"/>
      <c r="B846" s="43"/>
      <c r="C846" s="47"/>
      <c r="D846" s="203" t="s">
        <v>378</v>
      </c>
      <c r="E846" s="43"/>
      <c r="F846" s="29"/>
      <c r="G846" s="49"/>
      <c r="H846" s="29"/>
      <c r="I846" s="43"/>
      <c r="J846" s="35"/>
    </row>
    <row r="847" spans="1:10" ht="25.5">
      <c r="A847" s="17"/>
      <c r="B847" s="196" t="s">
        <v>247</v>
      </c>
      <c r="C847" s="60"/>
      <c r="D847" s="13" t="s">
        <v>383</v>
      </c>
      <c r="E847" s="13"/>
      <c r="F847" s="13"/>
      <c r="G847" s="13"/>
      <c r="H847" s="13"/>
      <c r="I847" s="13"/>
      <c r="J847" s="16"/>
    </row>
    <row r="848" spans="1:10">
      <c r="A848" s="17"/>
      <c r="B848" s="197"/>
      <c r="C848" s="122"/>
      <c r="D848" s="44" t="s">
        <v>18</v>
      </c>
      <c r="E848" s="43"/>
      <c r="F848" s="48"/>
      <c r="G848" s="49"/>
      <c r="H848" s="48"/>
      <c r="I848" s="43"/>
      <c r="J848" s="35"/>
    </row>
    <row r="849" spans="1:10" ht="25.5">
      <c r="A849" s="17"/>
      <c r="B849" s="103" t="s">
        <v>384</v>
      </c>
      <c r="C849" s="124">
        <v>1</v>
      </c>
      <c r="D849" s="13" t="s">
        <v>383</v>
      </c>
      <c r="E849" s="43">
        <v>1</v>
      </c>
      <c r="F849" s="29" t="s">
        <v>24</v>
      </c>
      <c r="G849" s="49">
        <v>1</v>
      </c>
      <c r="H849" s="29" t="s">
        <v>24</v>
      </c>
      <c r="I849" s="24">
        <v>184</v>
      </c>
      <c r="J849" s="35">
        <f>SUM(E849*I849/G849)</f>
        <v>184</v>
      </c>
    </row>
    <row r="850" spans="1:10">
      <c r="A850" s="17"/>
      <c r="B850" s="29"/>
      <c r="C850" s="30"/>
      <c r="D850" s="45" t="s">
        <v>181</v>
      </c>
      <c r="E850" s="43"/>
      <c r="F850" s="29"/>
      <c r="G850" s="49"/>
      <c r="H850" s="29"/>
      <c r="I850" s="47"/>
      <c r="J850" s="21">
        <f>SUM(J849:J849)</f>
        <v>184</v>
      </c>
    </row>
    <row r="851" spans="1:10">
      <c r="A851" s="17"/>
      <c r="B851" s="29"/>
      <c r="C851" s="30"/>
      <c r="D851" s="18" t="s">
        <v>36</v>
      </c>
      <c r="E851" s="24"/>
      <c r="F851" s="25"/>
      <c r="G851" s="26"/>
      <c r="H851" s="25"/>
      <c r="I851" s="20"/>
      <c r="J851" s="36">
        <f>(J850)*0.10615</f>
        <v>19.531599999999997</v>
      </c>
    </row>
    <row r="852" spans="1:10">
      <c r="A852" s="17"/>
      <c r="B852" s="29"/>
      <c r="C852" s="30"/>
      <c r="D852" s="18" t="s">
        <v>375</v>
      </c>
      <c r="E852" s="24"/>
      <c r="F852" s="25"/>
      <c r="G852" s="26"/>
      <c r="H852" s="25"/>
      <c r="I852" s="20"/>
      <c r="J852" s="36">
        <f>J851+J850</f>
        <v>203.5316</v>
      </c>
    </row>
    <row r="853" spans="1:10">
      <c r="A853" s="17"/>
      <c r="B853" s="29"/>
      <c r="C853" s="30"/>
      <c r="D853" s="18" t="s">
        <v>38</v>
      </c>
      <c r="E853" s="43"/>
      <c r="F853" s="29"/>
      <c r="G853" s="49"/>
      <c r="H853" s="29"/>
      <c r="I853" s="47"/>
      <c r="J853" s="21">
        <f>ROUND(J852,0)</f>
        <v>204</v>
      </c>
    </row>
    <row r="854" spans="1:10" ht="23.25">
      <c r="A854" s="130"/>
      <c r="B854" s="130"/>
      <c r="C854" s="131"/>
      <c r="D854" s="198" t="s">
        <v>627</v>
      </c>
      <c r="E854" s="130"/>
      <c r="F854" s="130"/>
      <c r="G854" s="130"/>
      <c r="H854" s="130"/>
      <c r="I854" s="130"/>
      <c r="J854" s="133"/>
    </row>
    <row r="855" spans="1:10">
      <c r="A855" s="17"/>
      <c r="B855" s="43"/>
      <c r="C855" s="47"/>
      <c r="D855" s="203" t="s">
        <v>378</v>
      </c>
      <c r="E855" s="43"/>
      <c r="F855" s="29"/>
      <c r="G855" s="49"/>
      <c r="H855" s="29"/>
      <c r="I855" s="43"/>
      <c r="J855" s="35"/>
    </row>
    <row r="856" spans="1:10" ht="89.25">
      <c r="A856" s="17"/>
      <c r="B856" s="196" t="s">
        <v>247</v>
      </c>
      <c r="C856" s="60"/>
      <c r="D856" s="13" t="s">
        <v>385</v>
      </c>
      <c r="E856" s="13"/>
      <c r="F856" s="13"/>
      <c r="G856" s="13"/>
      <c r="H856" s="13"/>
      <c r="I856" s="13"/>
      <c r="J856" s="16"/>
    </row>
    <row r="857" spans="1:10">
      <c r="A857" s="17"/>
      <c r="B857" s="197"/>
      <c r="C857" s="204"/>
      <c r="D857" s="44" t="s">
        <v>18</v>
      </c>
      <c r="E857" s="43"/>
      <c r="F857" s="48"/>
      <c r="G857" s="49"/>
      <c r="H857" s="48"/>
      <c r="I857" s="43"/>
      <c r="J857" s="35"/>
    </row>
    <row r="858" spans="1:10" ht="89.25">
      <c r="A858" s="17"/>
      <c r="B858" s="103" t="s">
        <v>386</v>
      </c>
      <c r="C858" s="122">
        <v>1</v>
      </c>
      <c r="D858" s="13" t="s">
        <v>385</v>
      </c>
      <c r="E858" s="26">
        <v>1</v>
      </c>
      <c r="F858" s="17" t="s">
        <v>29</v>
      </c>
      <c r="G858" s="26">
        <v>1</v>
      </c>
      <c r="H858" s="17" t="s">
        <v>29</v>
      </c>
      <c r="I858" s="24">
        <v>7392</v>
      </c>
      <c r="J858" s="35">
        <f>SUM(E858*I858/G858)</f>
        <v>7392</v>
      </c>
    </row>
    <row r="859" spans="1:10">
      <c r="A859" s="17"/>
      <c r="B859" s="43"/>
      <c r="C859" s="47"/>
      <c r="D859" s="45" t="s">
        <v>170</v>
      </c>
      <c r="E859" s="43"/>
      <c r="F859" s="29"/>
      <c r="G859" s="49"/>
      <c r="H859" s="29"/>
      <c r="I859" s="43"/>
      <c r="J859" s="35">
        <f>SUM(J858:J858)</f>
        <v>7392</v>
      </c>
    </row>
    <row r="860" spans="1:10">
      <c r="A860" s="17"/>
      <c r="B860" s="29"/>
      <c r="C860" s="30"/>
      <c r="D860" s="18" t="s">
        <v>36</v>
      </c>
      <c r="E860" s="24"/>
      <c r="F860" s="25"/>
      <c r="G860" s="26"/>
      <c r="H860" s="25"/>
      <c r="I860" s="20"/>
      <c r="J860" s="36">
        <f>(J859)*0.10615</f>
        <v>784.66079999999999</v>
      </c>
    </row>
    <row r="861" spans="1:10">
      <c r="A861" s="17"/>
      <c r="B861" s="29"/>
      <c r="C861" s="30"/>
      <c r="D861" s="18" t="s">
        <v>375</v>
      </c>
      <c r="E861" s="24"/>
      <c r="F861" s="25"/>
      <c r="G861" s="26"/>
      <c r="H861" s="25"/>
      <c r="I861" s="20"/>
      <c r="J861" s="36">
        <f>J860+J859</f>
        <v>8176.6607999999997</v>
      </c>
    </row>
    <row r="862" spans="1:10">
      <c r="A862" s="17"/>
      <c r="B862" s="29"/>
      <c r="C862" s="30"/>
      <c r="D862" s="18" t="s">
        <v>38</v>
      </c>
      <c r="E862" s="43"/>
      <c r="F862" s="29"/>
      <c r="G862" s="49"/>
      <c r="H862" s="29"/>
      <c r="I862" s="47"/>
      <c r="J862" s="21">
        <f>ROUND(J861,0)</f>
        <v>8177</v>
      </c>
    </row>
    <row r="863" spans="1:10" ht="23.25">
      <c r="A863" s="130"/>
      <c r="B863" s="130"/>
      <c r="C863" s="131"/>
      <c r="D863" s="198" t="s">
        <v>387</v>
      </c>
      <c r="E863" s="130"/>
      <c r="F863" s="130"/>
      <c r="G863" s="130"/>
      <c r="H863" s="130"/>
      <c r="I863" s="130"/>
      <c r="J863" s="133"/>
    </row>
    <row r="864" spans="1:10">
      <c r="A864" s="17"/>
      <c r="B864" s="43"/>
      <c r="C864" s="47"/>
      <c r="D864" s="203" t="s">
        <v>378</v>
      </c>
      <c r="E864" s="43"/>
      <c r="F864" s="29"/>
      <c r="G864" s="49"/>
      <c r="H864" s="29"/>
      <c r="I864" s="43"/>
      <c r="J864" s="35"/>
    </row>
    <row r="865" spans="1:10" ht="38.25">
      <c r="A865" s="17"/>
      <c r="B865" s="103" t="s">
        <v>388</v>
      </c>
      <c r="C865" s="60"/>
      <c r="D865" s="13" t="s">
        <v>389</v>
      </c>
      <c r="E865" s="13"/>
      <c r="F865" s="13"/>
      <c r="G865" s="13"/>
      <c r="H865" s="13"/>
      <c r="I865" s="13"/>
      <c r="J865" s="16"/>
    </row>
    <row r="866" spans="1:10">
      <c r="A866" s="17"/>
      <c r="B866" s="29"/>
      <c r="C866" s="30"/>
      <c r="D866" s="45" t="s">
        <v>4</v>
      </c>
      <c r="E866" s="43"/>
      <c r="F866" s="29"/>
      <c r="G866" s="49"/>
      <c r="H866" s="29"/>
      <c r="I866" s="47"/>
      <c r="J866" s="21"/>
    </row>
    <row r="867" spans="1:10">
      <c r="A867" s="17"/>
      <c r="B867" s="29"/>
      <c r="C867" s="30">
        <v>1</v>
      </c>
      <c r="D867" s="23" t="s">
        <v>9</v>
      </c>
      <c r="E867" s="24">
        <v>0.34</v>
      </c>
      <c r="F867" s="48" t="s">
        <v>10</v>
      </c>
      <c r="G867" s="49">
        <v>1</v>
      </c>
      <c r="H867" s="48" t="s">
        <v>10</v>
      </c>
      <c r="I867" s="47">
        <v>775</v>
      </c>
      <c r="J867" s="21">
        <f>SUM(E867*I867/G867)</f>
        <v>263.5</v>
      </c>
    </row>
    <row r="868" spans="1:10" ht="25.5">
      <c r="A868" s="17"/>
      <c r="B868" s="29"/>
      <c r="C868" s="30">
        <v>2</v>
      </c>
      <c r="D868" s="27" t="s">
        <v>11</v>
      </c>
      <c r="E868" s="24">
        <v>1</v>
      </c>
      <c r="F868" s="48" t="s">
        <v>10</v>
      </c>
      <c r="G868" s="49">
        <v>1</v>
      </c>
      <c r="H868" s="48" t="s">
        <v>10</v>
      </c>
      <c r="I868" s="47">
        <v>650</v>
      </c>
      <c r="J868" s="21">
        <f>SUM(E868*I868/G868)</f>
        <v>650</v>
      </c>
    </row>
    <row r="869" spans="1:10">
      <c r="A869" s="17"/>
      <c r="B869" s="29"/>
      <c r="C869" s="30">
        <v>3</v>
      </c>
      <c r="D869" s="27" t="s">
        <v>12</v>
      </c>
      <c r="E869" s="24">
        <v>0.34</v>
      </c>
      <c r="F869" s="25" t="s">
        <v>10</v>
      </c>
      <c r="G869" s="26">
        <v>1</v>
      </c>
      <c r="H869" s="25" t="s">
        <v>10</v>
      </c>
      <c r="I869" s="20">
        <v>650</v>
      </c>
      <c r="J869" s="21">
        <f>SUM(E869*I869/G869)</f>
        <v>221.00000000000003</v>
      </c>
    </row>
    <row r="870" spans="1:10">
      <c r="A870" s="17"/>
      <c r="B870" s="29"/>
      <c r="C870" s="30"/>
      <c r="D870" s="45" t="s">
        <v>198</v>
      </c>
      <c r="E870" s="43"/>
      <c r="F870" s="48"/>
      <c r="G870" s="49"/>
      <c r="H870" s="48"/>
      <c r="I870" s="47"/>
      <c r="J870" s="21">
        <f>SUM(J867:J869)</f>
        <v>1134.5</v>
      </c>
    </row>
    <row r="871" spans="1:10">
      <c r="A871" s="17"/>
      <c r="B871" s="29"/>
      <c r="C871" s="30"/>
      <c r="D871" s="45" t="s">
        <v>199</v>
      </c>
      <c r="E871" s="49"/>
      <c r="F871" s="48"/>
      <c r="G871" s="49"/>
      <c r="H871" s="48"/>
      <c r="I871" s="47"/>
      <c r="J871" s="21">
        <f>SUM(J870/100)</f>
        <v>11.345000000000001</v>
      </c>
    </row>
    <row r="872" spans="1:10">
      <c r="A872" s="17"/>
      <c r="B872" s="29"/>
      <c r="C872" s="30"/>
      <c r="D872" s="44" t="s">
        <v>43</v>
      </c>
      <c r="E872" s="50"/>
      <c r="F872" s="29"/>
      <c r="G872" s="49"/>
      <c r="H872" s="29"/>
      <c r="I872" s="47"/>
      <c r="J872" s="21">
        <f>J871*0.4</f>
        <v>4.5380000000000003</v>
      </c>
    </row>
    <row r="873" spans="1:10">
      <c r="A873" s="17"/>
      <c r="B873" s="29"/>
      <c r="C873" s="30"/>
      <c r="D873" s="44" t="s">
        <v>44</v>
      </c>
      <c r="E873" s="50"/>
      <c r="F873" s="29"/>
      <c r="G873" s="49"/>
      <c r="H873" s="29"/>
      <c r="I873" s="47"/>
      <c r="J873" s="21">
        <f>SUM(J871:J872)</f>
        <v>15.883000000000001</v>
      </c>
    </row>
    <row r="874" spans="1:10">
      <c r="A874" s="17"/>
      <c r="B874" s="63"/>
      <c r="C874" s="64"/>
      <c r="D874" s="44" t="s">
        <v>18</v>
      </c>
      <c r="E874" s="43"/>
      <c r="F874" s="48"/>
      <c r="G874" s="49"/>
      <c r="H874" s="48"/>
      <c r="I874" s="43"/>
      <c r="J874" s="35"/>
    </row>
    <row r="875" spans="1:10" ht="25.5">
      <c r="A875" s="17"/>
      <c r="B875" s="43" t="s">
        <v>390</v>
      </c>
      <c r="C875" s="124">
        <v>4</v>
      </c>
      <c r="D875" s="13" t="s">
        <v>391</v>
      </c>
      <c r="E875" s="43">
        <v>100</v>
      </c>
      <c r="F875" s="29" t="s">
        <v>64</v>
      </c>
      <c r="G875" s="49">
        <v>1</v>
      </c>
      <c r="H875" s="29" t="s">
        <v>64</v>
      </c>
      <c r="I875" s="24">
        <v>22</v>
      </c>
      <c r="J875" s="35">
        <f>SUM(E875*I875/G875)</f>
        <v>2200</v>
      </c>
    </row>
    <row r="876" spans="1:10">
      <c r="A876" s="17"/>
      <c r="B876" s="29"/>
      <c r="C876" s="30"/>
      <c r="D876" s="45" t="s">
        <v>202</v>
      </c>
      <c r="E876" s="43"/>
      <c r="F876" s="29"/>
      <c r="G876" s="49"/>
      <c r="H876" s="29"/>
      <c r="I876" s="47"/>
      <c r="J876" s="21">
        <f>SUM(J875:J875)</f>
        <v>2200</v>
      </c>
    </row>
    <row r="877" spans="1:10">
      <c r="A877" s="17"/>
      <c r="B877" s="29"/>
      <c r="C877" s="30"/>
      <c r="D877" s="45" t="s">
        <v>203</v>
      </c>
      <c r="E877" s="43"/>
      <c r="F877" s="29"/>
      <c r="G877" s="49"/>
      <c r="H877" s="29"/>
      <c r="I877" s="47"/>
      <c r="J877" s="21">
        <f>SUM(J876/100)</f>
        <v>22</v>
      </c>
    </row>
    <row r="878" spans="1:10">
      <c r="A878" s="17"/>
      <c r="B878" s="29"/>
      <c r="C878" s="30"/>
      <c r="D878" s="45" t="s">
        <v>35</v>
      </c>
      <c r="E878" s="43"/>
      <c r="F878" s="29"/>
      <c r="G878" s="49"/>
      <c r="H878" s="29"/>
      <c r="I878" s="62"/>
      <c r="J878" s="21">
        <f>J877+J873</f>
        <v>37.883000000000003</v>
      </c>
    </row>
    <row r="879" spans="1:10">
      <c r="A879" s="17"/>
      <c r="B879" s="29"/>
      <c r="C879" s="30"/>
      <c r="D879" s="18" t="s">
        <v>36</v>
      </c>
      <c r="E879" s="24"/>
      <c r="F879" s="25"/>
      <c r="G879" s="26"/>
      <c r="H879" s="25"/>
      <c r="I879" s="20"/>
      <c r="J879" s="36">
        <f>(J878)*0.10615</f>
        <v>4.0212804499999999</v>
      </c>
    </row>
    <row r="880" spans="1:10">
      <c r="A880" s="17"/>
      <c r="B880" s="29"/>
      <c r="C880" s="30"/>
      <c r="D880" s="18" t="s">
        <v>375</v>
      </c>
      <c r="E880" s="24"/>
      <c r="F880" s="25"/>
      <c r="G880" s="26"/>
      <c r="H880" s="25"/>
      <c r="I880" s="20"/>
      <c r="J880" s="36">
        <f>J879+J878</f>
        <v>41.904280450000002</v>
      </c>
    </row>
    <row r="881" spans="1:10">
      <c r="A881" s="17"/>
      <c r="B881" s="29"/>
      <c r="C881" s="30"/>
      <c r="D881" s="18" t="s">
        <v>38</v>
      </c>
      <c r="E881" s="43"/>
      <c r="F881" s="29"/>
      <c r="G881" s="49"/>
      <c r="H881" s="29"/>
      <c r="I881" s="47"/>
      <c r="J881" s="21">
        <f>ROUND(J880,0)</f>
        <v>42</v>
      </c>
    </row>
    <row r="882" spans="1:10" ht="23.25">
      <c r="A882" s="130"/>
      <c r="B882" s="130"/>
      <c r="C882" s="131"/>
      <c r="D882" s="198" t="s">
        <v>392</v>
      </c>
      <c r="E882" s="130"/>
      <c r="F882" s="130"/>
      <c r="G882" s="130"/>
      <c r="H882" s="130"/>
      <c r="I882" s="130"/>
      <c r="J882" s="133"/>
    </row>
    <row r="883" spans="1:10">
      <c r="A883" s="17"/>
      <c r="B883" s="17"/>
      <c r="C883" s="31"/>
      <c r="D883" s="203" t="s">
        <v>378</v>
      </c>
      <c r="E883" s="34"/>
      <c r="F883" s="34"/>
      <c r="G883" s="34"/>
      <c r="H883" s="34"/>
      <c r="I883" s="34"/>
      <c r="J883" s="34"/>
    </row>
    <row r="884" spans="1:10" ht="76.5">
      <c r="A884" s="17"/>
      <c r="B884" s="26" t="s">
        <v>88</v>
      </c>
      <c r="C884" s="22"/>
      <c r="D884" s="13" t="s">
        <v>393</v>
      </c>
      <c r="E884" s="13"/>
      <c r="F884" s="13"/>
      <c r="G884" s="13"/>
      <c r="H884" s="13"/>
      <c r="I884" s="13"/>
      <c r="J884" s="16"/>
    </row>
    <row r="885" spans="1:10">
      <c r="A885" s="17"/>
      <c r="B885" s="26"/>
      <c r="C885" s="22"/>
      <c r="D885" s="18" t="s">
        <v>4</v>
      </c>
      <c r="E885" s="24"/>
      <c r="F885" s="17"/>
      <c r="G885" s="26"/>
      <c r="H885" s="17"/>
      <c r="I885" s="20"/>
      <c r="J885" s="21"/>
    </row>
    <row r="886" spans="1:10">
      <c r="A886" s="17"/>
      <c r="B886" s="26"/>
      <c r="C886" s="22">
        <v>1</v>
      </c>
      <c r="D886" s="23" t="s">
        <v>9</v>
      </c>
      <c r="E886" s="58">
        <v>3.3000000000000002E-2</v>
      </c>
      <c r="F886" s="25" t="s">
        <v>10</v>
      </c>
      <c r="G886" s="26">
        <v>1</v>
      </c>
      <c r="H886" s="25" t="s">
        <v>10</v>
      </c>
      <c r="I886" s="20">
        <v>775</v>
      </c>
      <c r="J886" s="21">
        <f>SUM(E886*I886/G886)</f>
        <v>25.575000000000003</v>
      </c>
    </row>
    <row r="887" spans="1:10">
      <c r="A887" s="17"/>
      <c r="B887" s="26"/>
      <c r="C887" s="22">
        <v>2</v>
      </c>
      <c r="D887" s="27" t="s">
        <v>12</v>
      </c>
      <c r="E887" s="58">
        <v>3.3000000000000002E-2</v>
      </c>
      <c r="F887" s="25" t="s">
        <v>10</v>
      </c>
      <c r="G887" s="26">
        <v>1</v>
      </c>
      <c r="H887" s="25" t="s">
        <v>10</v>
      </c>
      <c r="I887" s="20">
        <v>650</v>
      </c>
      <c r="J887" s="21">
        <f>SUM(E887*I887/G887)</f>
        <v>21.45</v>
      </c>
    </row>
    <row r="888" spans="1:10">
      <c r="A888" s="17"/>
      <c r="B888" s="26"/>
      <c r="C888" s="22"/>
      <c r="D888" s="18" t="s">
        <v>90</v>
      </c>
      <c r="E888" s="24"/>
      <c r="F888" s="25"/>
      <c r="G888" s="26"/>
      <c r="H888" s="25"/>
      <c r="I888" s="20"/>
      <c r="J888" s="21">
        <f>SUM(J886:J887)</f>
        <v>47.025000000000006</v>
      </c>
    </row>
    <row r="889" spans="1:10">
      <c r="A889" s="17"/>
      <c r="B889" s="26"/>
      <c r="C889" s="22"/>
      <c r="D889" s="13" t="s">
        <v>61</v>
      </c>
      <c r="E889" s="31"/>
      <c r="F889" s="17"/>
      <c r="G889" s="26"/>
      <c r="H889" s="17"/>
      <c r="I889" s="20"/>
      <c r="J889" s="21">
        <f>J888*0.4</f>
        <v>18.810000000000002</v>
      </c>
    </row>
    <row r="890" spans="1:10">
      <c r="A890" s="17"/>
      <c r="B890" s="26"/>
      <c r="C890" s="22"/>
      <c r="D890" s="13" t="s">
        <v>17</v>
      </c>
      <c r="E890" s="31"/>
      <c r="F890" s="17"/>
      <c r="G890" s="26"/>
      <c r="H890" s="17"/>
      <c r="I890" s="20"/>
      <c r="J890" s="21">
        <f>SUM(J888:J889)</f>
        <v>65.835000000000008</v>
      </c>
    </row>
    <row r="891" spans="1:10">
      <c r="A891" s="17"/>
      <c r="B891" s="26"/>
      <c r="C891" s="22"/>
      <c r="D891" s="18" t="s">
        <v>18</v>
      </c>
      <c r="E891" s="24"/>
      <c r="F891" s="25"/>
      <c r="G891" s="26"/>
      <c r="H891" s="25"/>
      <c r="I891" s="20"/>
      <c r="J891" s="21"/>
    </row>
    <row r="892" spans="1:10">
      <c r="A892" s="17"/>
      <c r="B892" s="125" t="s">
        <v>394</v>
      </c>
      <c r="C892" s="22">
        <v>3</v>
      </c>
      <c r="D892" s="59" t="s">
        <v>395</v>
      </c>
      <c r="E892" s="26">
        <v>1</v>
      </c>
      <c r="F892" s="17" t="s">
        <v>24</v>
      </c>
      <c r="G892" s="26">
        <v>1</v>
      </c>
      <c r="H892" s="17" t="s">
        <v>29</v>
      </c>
      <c r="I892" s="20">
        <v>84</v>
      </c>
      <c r="J892" s="21">
        <f>SUM(E892*I892/G892)</f>
        <v>84</v>
      </c>
    </row>
    <row r="893" spans="1:10" ht="22.5">
      <c r="A893" s="17"/>
      <c r="B893" s="125" t="s">
        <v>396</v>
      </c>
      <c r="C893" s="22">
        <v>4</v>
      </c>
      <c r="D893" s="59" t="s">
        <v>397</v>
      </c>
      <c r="E893" s="26"/>
      <c r="F893" s="17"/>
      <c r="G893" s="26"/>
      <c r="H893" s="17"/>
      <c r="I893" s="20"/>
      <c r="J893" s="21"/>
    </row>
    <row r="894" spans="1:10" ht="51">
      <c r="A894" s="17"/>
      <c r="B894" s="26"/>
      <c r="C894" s="22"/>
      <c r="D894" s="16" t="s">
        <v>398</v>
      </c>
      <c r="E894" s="26">
        <v>1</v>
      </c>
      <c r="F894" s="17" t="s">
        <v>24</v>
      </c>
      <c r="G894" s="26">
        <v>1</v>
      </c>
      <c r="H894" s="17" t="s">
        <v>29</v>
      </c>
      <c r="I894" s="47">
        <v>75</v>
      </c>
      <c r="J894" s="21">
        <f>SUM(E894*I894/G894)</f>
        <v>75</v>
      </c>
    </row>
    <row r="895" spans="1:10" ht="38.25">
      <c r="A895" s="17"/>
      <c r="B895" s="125" t="s">
        <v>399</v>
      </c>
      <c r="C895" s="22">
        <v>5</v>
      </c>
      <c r="D895" s="59" t="s">
        <v>400</v>
      </c>
      <c r="E895" s="26">
        <v>1</v>
      </c>
      <c r="F895" s="17" t="s">
        <v>24</v>
      </c>
      <c r="G895" s="26">
        <v>1</v>
      </c>
      <c r="H895" s="17" t="s">
        <v>29</v>
      </c>
      <c r="I895" s="47">
        <v>305</v>
      </c>
      <c r="J895" s="21">
        <f>SUM(E895*I895/G895)</f>
        <v>305</v>
      </c>
    </row>
    <row r="896" spans="1:10">
      <c r="A896" s="17"/>
      <c r="B896" s="26"/>
      <c r="C896" s="22"/>
      <c r="D896" s="57" t="s">
        <v>95</v>
      </c>
      <c r="E896" s="26"/>
      <c r="F896" s="17"/>
      <c r="G896" s="26"/>
      <c r="H896" s="17"/>
      <c r="I896" s="20"/>
      <c r="J896" s="21">
        <f>SUM(J892:J895)</f>
        <v>464</v>
      </c>
    </row>
    <row r="897" spans="1:10">
      <c r="A897" s="17"/>
      <c r="B897" s="26"/>
      <c r="C897" s="22"/>
      <c r="D897" s="57" t="s">
        <v>96</v>
      </c>
      <c r="E897" s="24"/>
      <c r="F897" s="17"/>
      <c r="G897" s="26"/>
      <c r="H897" s="17"/>
      <c r="I897" s="20"/>
      <c r="J897" s="21">
        <f>J896+J890</f>
        <v>529.83500000000004</v>
      </c>
    </row>
    <row r="898" spans="1:10">
      <c r="A898" s="17"/>
      <c r="B898" s="29"/>
      <c r="C898" s="30"/>
      <c r="D898" s="18" t="s">
        <v>36</v>
      </c>
      <c r="E898" s="24"/>
      <c r="F898" s="25"/>
      <c r="G898" s="26"/>
      <c r="H898" s="25"/>
      <c r="I898" s="20"/>
      <c r="J898" s="36">
        <f>(J897)*0.10615</f>
        <v>56.241985249999999</v>
      </c>
    </row>
    <row r="899" spans="1:10">
      <c r="A899" s="17"/>
      <c r="B899" s="29"/>
      <c r="C899" s="30"/>
      <c r="D899" s="18" t="s">
        <v>375</v>
      </c>
      <c r="E899" s="24"/>
      <c r="F899" s="25"/>
      <c r="G899" s="26"/>
      <c r="H899" s="25"/>
      <c r="I899" s="20"/>
      <c r="J899" s="36">
        <f>J898+J897</f>
        <v>586.07698525000001</v>
      </c>
    </row>
    <row r="900" spans="1:10">
      <c r="A900" s="17"/>
      <c r="B900" s="29"/>
      <c r="C900" s="30"/>
      <c r="D900" s="18" t="s">
        <v>38</v>
      </c>
      <c r="E900" s="43"/>
      <c r="F900" s="29"/>
      <c r="G900" s="49"/>
      <c r="H900" s="29"/>
      <c r="I900" s="47"/>
      <c r="J900" s="21">
        <f>ROUND(J899,0)</f>
        <v>586</v>
      </c>
    </row>
    <row r="901" spans="1:10" ht="23.25">
      <c r="A901" s="130"/>
      <c r="B901" s="130"/>
      <c r="C901" s="131"/>
      <c r="D901" s="198" t="s">
        <v>401</v>
      </c>
      <c r="E901" s="130"/>
      <c r="F901" s="130"/>
      <c r="G901" s="130"/>
      <c r="H901" s="130"/>
      <c r="I901" s="130"/>
      <c r="J901" s="133"/>
    </row>
    <row r="902" spans="1:10">
      <c r="A902" s="17"/>
      <c r="B902" s="17"/>
      <c r="C902" s="31"/>
      <c r="D902" s="203" t="s">
        <v>378</v>
      </c>
      <c r="E902" s="34"/>
      <c r="F902" s="34"/>
      <c r="G902" s="34"/>
      <c r="H902" s="34"/>
      <c r="I902" s="34"/>
      <c r="J902" s="34"/>
    </row>
    <row r="903" spans="1:10" ht="76.5">
      <c r="A903" s="17"/>
      <c r="B903" s="26" t="s">
        <v>88</v>
      </c>
      <c r="C903" s="22"/>
      <c r="D903" s="13" t="s">
        <v>402</v>
      </c>
      <c r="E903" s="13"/>
      <c r="F903" s="13"/>
      <c r="G903" s="13"/>
      <c r="H903" s="13"/>
      <c r="I903" s="13"/>
      <c r="J903" s="16"/>
    </row>
    <row r="904" spans="1:10">
      <c r="A904" s="17"/>
      <c r="B904" s="26"/>
      <c r="C904" s="22"/>
      <c r="D904" s="18" t="s">
        <v>4</v>
      </c>
      <c r="E904" s="24"/>
      <c r="F904" s="17"/>
      <c r="G904" s="26"/>
      <c r="H904" s="17"/>
      <c r="I904" s="20"/>
      <c r="J904" s="21"/>
    </row>
    <row r="905" spans="1:10">
      <c r="A905" s="17"/>
      <c r="B905" s="26"/>
      <c r="C905" s="22">
        <v>1</v>
      </c>
      <c r="D905" s="23" t="s">
        <v>9</v>
      </c>
      <c r="E905" s="58">
        <v>3.3000000000000002E-2</v>
      </c>
      <c r="F905" s="25" t="s">
        <v>10</v>
      </c>
      <c r="G905" s="26">
        <v>1</v>
      </c>
      <c r="H905" s="25" t="s">
        <v>10</v>
      </c>
      <c r="I905" s="20">
        <v>775</v>
      </c>
      <c r="J905" s="21">
        <f>SUM(E905*I905/G905)</f>
        <v>25.575000000000003</v>
      </c>
    </row>
    <row r="906" spans="1:10">
      <c r="A906" s="17"/>
      <c r="B906" s="26"/>
      <c r="C906" s="22">
        <v>2</v>
      </c>
      <c r="D906" s="27" t="s">
        <v>12</v>
      </c>
      <c r="E906" s="58">
        <v>3.3000000000000002E-2</v>
      </c>
      <c r="F906" s="25" t="s">
        <v>10</v>
      </c>
      <c r="G906" s="26">
        <v>1</v>
      </c>
      <c r="H906" s="25" t="s">
        <v>10</v>
      </c>
      <c r="I906" s="20">
        <v>650</v>
      </c>
      <c r="J906" s="21">
        <f>SUM(E906*I906/G906)</f>
        <v>21.45</v>
      </c>
    </row>
    <row r="907" spans="1:10">
      <c r="A907" s="17"/>
      <c r="B907" s="26"/>
      <c r="C907" s="22"/>
      <c r="D907" s="18" t="s">
        <v>90</v>
      </c>
      <c r="E907" s="24"/>
      <c r="F907" s="25"/>
      <c r="G907" s="26"/>
      <c r="H907" s="25"/>
      <c r="I907" s="20"/>
      <c r="J907" s="21">
        <f>SUM(J905:J906)</f>
        <v>47.025000000000006</v>
      </c>
    </row>
    <row r="908" spans="1:10">
      <c r="A908" s="17"/>
      <c r="B908" s="26"/>
      <c r="C908" s="22"/>
      <c r="D908" s="13" t="s">
        <v>61</v>
      </c>
      <c r="E908" s="31"/>
      <c r="F908" s="17"/>
      <c r="G908" s="26"/>
      <c r="H908" s="17"/>
      <c r="I908" s="20"/>
      <c r="J908" s="21">
        <f>J907*0.4</f>
        <v>18.810000000000002</v>
      </c>
    </row>
    <row r="909" spans="1:10">
      <c r="A909" s="17"/>
      <c r="B909" s="26"/>
      <c r="C909" s="22"/>
      <c r="D909" s="13" t="s">
        <v>17</v>
      </c>
      <c r="E909" s="31"/>
      <c r="F909" s="17"/>
      <c r="G909" s="26"/>
      <c r="H909" s="17"/>
      <c r="I909" s="20"/>
      <c r="J909" s="21">
        <f>SUM(J907:J908)</f>
        <v>65.835000000000008</v>
      </c>
    </row>
    <row r="910" spans="1:10">
      <c r="A910" s="17"/>
      <c r="B910" s="26"/>
      <c r="C910" s="22"/>
      <c r="D910" s="18" t="s">
        <v>18</v>
      </c>
      <c r="E910" s="24"/>
      <c r="F910" s="25"/>
      <c r="G910" s="26"/>
      <c r="H910" s="25"/>
      <c r="I910" s="20"/>
      <c r="J910" s="21"/>
    </row>
    <row r="911" spans="1:10" ht="22.5">
      <c r="A911" s="17"/>
      <c r="B911" s="125" t="s">
        <v>403</v>
      </c>
      <c r="C911" s="22">
        <v>3</v>
      </c>
      <c r="D911" s="59" t="s">
        <v>404</v>
      </c>
      <c r="E911" s="26">
        <v>1</v>
      </c>
      <c r="F911" s="17" t="s">
        <v>24</v>
      </c>
      <c r="G911" s="26">
        <v>1</v>
      </c>
      <c r="H911" s="17" t="s">
        <v>29</v>
      </c>
      <c r="I911" s="20">
        <v>84</v>
      </c>
      <c r="J911" s="21">
        <f>SUM(E911*I911/G911)</f>
        <v>84</v>
      </c>
    </row>
    <row r="912" spans="1:10">
      <c r="A912" s="17"/>
      <c r="B912" s="26"/>
      <c r="C912" s="22">
        <v>4</v>
      </c>
      <c r="D912" s="59" t="s">
        <v>405</v>
      </c>
      <c r="E912" s="26"/>
      <c r="F912" s="17"/>
      <c r="G912" s="26"/>
      <c r="H912" s="17"/>
      <c r="I912" s="20"/>
      <c r="J912" s="21"/>
    </row>
    <row r="913" spans="1:10" ht="38.25">
      <c r="A913" s="17"/>
      <c r="B913" s="125" t="s">
        <v>396</v>
      </c>
      <c r="C913" s="22"/>
      <c r="D913" s="16" t="s">
        <v>406</v>
      </c>
      <c r="E913" s="26">
        <v>1</v>
      </c>
      <c r="F913" s="17" t="s">
        <v>24</v>
      </c>
      <c r="G913" s="26">
        <v>1</v>
      </c>
      <c r="H913" s="17" t="s">
        <v>29</v>
      </c>
      <c r="I913" s="47">
        <v>75</v>
      </c>
      <c r="J913" s="21">
        <f>SUM(E913*I913/G913)</f>
        <v>75</v>
      </c>
    </row>
    <row r="914" spans="1:10" ht="51">
      <c r="A914" s="17"/>
      <c r="B914" s="125" t="s">
        <v>407</v>
      </c>
      <c r="C914" s="22">
        <v>5</v>
      </c>
      <c r="D914" s="59" t="s">
        <v>408</v>
      </c>
      <c r="E914" s="26">
        <v>1</v>
      </c>
      <c r="F914" s="17" t="s">
        <v>24</v>
      </c>
      <c r="G914" s="26">
        <v>1</v>
      </c>
      <c r="H914" s="17" t="s">
        <v>29</v>
      </c>
      <c r="I914" s="47">
        <v>89</v>
      </c>
      <c r="J914" s="21">
        <f>I914</f>
        <v>89</v>
      </c>
    </row>
    <row r="915" spans="1:10">
      <c r="A915" s="17"/>
      <c r="B915" s="26"/>
      <c r="C915" s="22"/>
      <c r="D915" s="57" t="s">
        <v>95</v>
      </c>
      <c r="E915" s="26"/>
      <c r="F915" s="17"/>
      <c r="G915" s="26"/>
      <c r="H915" s="17"/>
      <c r="I915" s="20"/>
      <c r="J915" s="21">
        <f>SUM(J911:J914)</f>
        <v>248</v>
      </c>
    </row>
    <row r="916" spans="1:10">
      <c r="A916" s="17"/>
      <c r="B916" s="26"/>
      <c r="C916" s="22"/>
      <c r="D916" s="57" t="s">
        <v>96</v>
      </c>
      <c r="E916" s="24"/>
      <c r="F916" s="17"/>
      <c r="G916" s="26"/>
      <c r="H916" s="17"/>
      <c r="I916" s="20"/>
      <c r="J916" s="21">
        <f>J915+J909</f>
        <v>313.83500000000004</v>
      </c>
    </row>
    <row r="917" spans="1:10">
      <c r="A917" s="17"/>
      <c r="B917" s="29"/>
      <c r="C917" s="30"/>
      <c r="D917" s="18" t="s">
        <v>36</v>
      </c>
      <c r="E917" s="24"/>
      <c r="F917" s="25"/>
      <c r="G917" s="26"/>
      <c r="H917" s="25"/>
      <c r="I917" s="20"/>
      <c r="J917" s="36">
        <f>(J916)*0.10615</f>
        <v>33.313585250000003</v>
      </c>
    </row>
    <row r="918" spans="1:10">
      <c r="A918" s="17"/>
      <c r="B918" s="29"/>
      <c r="C918" s="30"/>
      <c r="D918" s="18" t="s">
        <v>375</v>
      </c>
      <c r="E918" s="24"/>
      <c r="F918" s="25"/>
      <c r="G918" s="26"/>
      <c r="H918" s="25"/>
      <c r="I918" s="20"/>
      <c r="J918" s="36">
        <f>J917+J916</f>
        <v>347.14858525000005</v>
      </c>
    </row>
    <row r="919" spans="1:10">
      <c r="A919" s="17"/>
      <c r="B919" s="29"/>
      <c r="C919" s="30"/>
      <c r="D919" s="18" t="s">
        <v>38</v>
      </c>
      <c r="E919" s="43"/>
      <c r="F919" s="29"/>
      <c r="G919" s="49"/>
      <c r="H919" s="29"/>
      <c r="I919" s="47"/>
      <c r="J919" s="21">
        <f>ROUND(J918,0)</f>
        <v>347</v>
      </c>
    </row>
    <row r="920" spans="1:10" ht="23.25">
      <c r="A920" s="130"/>
      <c r="B920" s="130"/>
      <c r="C920" s="131"/>
      <c r="D920" s="198" t="s">
        <v>409</v>
      </c>
      <c r="E920" s="130"/>
      <c r="F920" s="130"/>
      <c r="G920" s="130"/>
      <c r="H920" s="130"/>
      <c r="I920" s="130"/>
      <c r="J920" s="133"/>
    </row>
    <row r="921" spans="1:10" ht="23.25">
      <c r="A921" s="205"/>
      <c r="B921" s="205"/>
      <c r="C921" s="206"/>
      <c r="D921" s="203" t="s">
        <v>378</v>
      </c>
      <c r="E921" s="205"/>
      <c r="F921" s="205"/>
      <c r="G921" s="205"/>
      <c r="H921" s="205"/>
      <c r="I921" s="205"/>
      <c r="J921" s="201"/>
    </row>
    <row r="922" spans="1:10" ht="25.5">
      <c r="A922" s="17"/>
      <c r="B922" s="196" t="s">
        <v>247</v>
      </c>
      <c r="C922" s="60"/>
      <c r="D922" s="13" t="s">
        <v>410</v>
      </c>
      <c r="E922" s="13"/>
      <c r="F922" s="13"/>
      <c r="G922" s="13"/>
      <c r="H922" s="13"/>
      <c r="I922" s="13"/>
      <c r="J922" s="16"/>
    </row>
    <row r="923" spans="1:10">
      <c r="A923" s="17"/>
      <c r="B923" s="197"/>
      <c r="C923" s="204"/>
      <c r="D923" s="44" t="s">
        <v>18</v>
      </c>
      <c r="E923" s="43"/>
      <c r="F923" s="48"/>
      <c r="G923" s="49"/>
      <c r="H923" s="48"/>
      <c r="I923" s="43"/>
      <c r="J923" s="35"/>
    </row>
    <row r="924" spans="1:10" ht="25.5">
      <c r="A924" s="17"/>
      <c r="B924" s="103" t="s">
        <v>411</v>
      </c>
      <c r="C924" s="122">
        <v>1</v>
      </c>
      <c r="D924" s="13" t="s">
        <v>410</v>
      </c>
      <c r="E924" s="26">
        <v>1</v>
      </c>
      <c r="F924" s="17" t="s">
        <v>29</v>
      </c>
      <c r="G924" s="26">
        <v>1</v>
      </c>
      <c r="H924" s="17" t="s">
        <v>29</v>
      </c>
      <c r="I924" s="24">
        <v>7004</v>
      </c>
      <c r="J924" s="35">
        <f>SUM(E924*I924/G924)</f>
        <v>7004</v>
      </c>
    </row>
    <row r="925" spans="1:10">
      <c r="A925" s="17"/>
      <c r="B925" s="43"/>
      <c r="C925" s="47"/>
      <c r="D925" s="45" t="s">
        <v>170</v>
      </c>
      <c r="E925" s="43"/>
      <c r="F925" s="29"/>
      <c r="G925" s="49"/>
      <c r="H925" s="29"/>
      <c r="I925" s="43"/>
      <c r="J925" s="35">
        <f>SUM(J924:J924)</f>
        <v>7004</v>
      </c>
    </row>
    <row r="926" spans="1:10">
      <c r="A926" s="17"/>
      <c r="B926" s="29"/>
      <c r="C926" s="30"/>
      <c r="D926" s="18" t="s">
        <v>36</v>
      </c>
      <c r="E926" s="24"/>
      <c r="F926" s="25"/>
      <c r="G926" s="26"/>
      <c r="H926" s="25"/>
      <c r="I926" s="20"/>
      <c r="J926" s="36">
        <f>(J925)*0.10615</f>
        <v>743.47460000000001</v>
      </c>
    </row>
    <row r="927" spans="1:10">
      <c r="A927" s="17"/>
      <c r="B927" s="29"/>
      <c r="C927" s="30"/>
      <c r="D927" s="18" t="s">
        <v>375</v>
      </c>
      <c r="E927" s="24"/>
      <c r="F927" s="25"/>
      <c r="G927" s="26"/>
      <c r="H927" s="25"/>
      <c r="I927" s="20"/>
      <c r="J927" s="36">
        <f>J926+J925</f>
        <v>7747.4745999999996</v>
      </c>
    </row>
    <row r="928" spans="1:10">
      <c r="A928" s="17"/>
      <c r="B928" s="29"/>
      <c r="C928" s="30"/>
      <c r="D928" s="18" t="s">
        <v>38</v>
      </c>
      <c r="E928" s="43"/>
      <c r="F928" s="29"/>
      <c r="G928" s="49"/>
      <c r="H928" s="29"/>
      <c r="I928" s="47"/>
      <c r="J928" s="21">
        <f>ROUND(J927,0)</f>
        <v>7747</v>
      </c>
    </row>
    <row r="929" spans="1:10" ht="23.25">
      <c r="A929" s="130"/>
      <c r="B929" s="130"/>
      <c r="C929" s="131"/>
      <c r="D929" s="198" t="s">
        <v>412</v>
      </c>
      <c r="E929" s="130"/>
      <c r="F929" s="130"/>
      <c r="G929" s="130"/>
      <c r="H929" s="130"/>
      <c r="I929" s="130"/>
      <c r="J929" s="133"/>
    </row>
    <row r="930" spans="1:10">
      <c r="A930" s="31"/>
      <c r="B930" s="26"/>
      <c r="C930" s="22"/>
      <c r="D930" s="203" t="s">
        <v>378</v>
      </c>
      <c r="E930" s="43"/>
      <c r="F930" s="29"/>
      <c r="G930" s="49"/>
      <c r="H930" s="29"/>
      <c r="I930" s="62"/>
      <c r="J930" s="21"/>
    </row>
    <row r="931" spans="1:10" ht="191.25">
      <c r="A931" s="17"/>
      <c r="B931" s="103" t="s">
        <v>413</v>
      </c>
      <c r="C931" s="60"/>
      <c r="D931" s="27" t="s">
        <v>414</v>
      </c>
      <c r="E931" s="17"/>
      <c r="F931" s="17"/>
      <c r="G931" s="17"/>
      <c r="H931" s="17"/>
      <c r="I931" s="17"/>
      <c r="J931" s="63"/>
    </row>
    <row r="932" spans="1:10">
      <c r="A932" s="17"/>
      <c r="B932" s="43"/>
      <c r="C932" s="122"/>
      <c r="D932" s="44" t="s">
        <v>18</v>
      </c>
      <c r="E932" s="43"/>
      <c r="F932" s="48"/>
      <c r="G932" s="49"/>
      <c r="H932" s="48"/>
      <c r="I932" s="43"/>
      <c r="J932" s="35"/>
    </row>
    <row r="933" spans="1:10" ht="178.5">
      <c r="A933" s="17"/>
      <c r="B933" s="207" t="s">
        <v>415</v>
      </c>
      <c r="C933" s="124">
        <v>1</v>
      </c>
      <c r="D933" s="13" t="s">
        <v>416</v>
      </c>
      <c r="E933" s="43">
        <v>1</v>
      </c>
      <c r="F933" s="29" t="s">
        <v>24</v>
      </c>
      <c r="G933" s="49">
        <v>1</v>
      </c>
      <c r="H933" s="29" t="s">
        <v>24</v>
      </c>
      <c r="I933" s="24">
        <v>54000</v>
      </c>
      <c r="J933" s="35">
        <f>SUM(E933*I933/G933)</f>
        <v>54000</v>
      </c>
    </row>
    <row r="934" spans="1:10" ht="22.5">
      <c r="A934" s="17"/>
      <c r="B934" s="207" t="s">
        <v>417</v>
      </c>
      <c r="C934" s="124">
        <v>2</v>
      </c>
      <c r="D934" s="13" t="s">
        <v>418</v>
      </c>
      <c r="E934" s="43">
        <v>1</v>
      </c>
      <c r="F934" s="29" t="s">
        <v>24</v>
      </c>
      <c r="G934" s="49">
        <v>1</v>
      </c>
      <c r="H934" s="29" t="s">
        <v>24</v>
      </c>
      <c r="I934" s="24">
        <v>1760</v>
      </c>
      <c r="J934" s="35">
        <f>SUM(E934*I934/G934)</f>
        <v>1760</v>
      </c>
    </row>
    <row r="935" spans="1:10" ht="25.5">
      <c r="A935" s="17"/>
      <c r="B935" s="207" t="s">
        <v>419</v>
      </c>
      <c r="C935" s="124">
        <v>3</v>
      </c>
      <c r="D935" s="13" t="s">
        <v>420</v>
      </c>
      <c r="E935" s="43">
        <v>1</v>
      </c>
      <c r="F935" s="29" t="s">
        <v>24</v>
      </c>
      <c r="G935" s="49">
        <v>1</v>
      </c>
      <c r="H935" s="29" t="s">
        <v>24</v>
      </c>
      <c r="I935" s="24">
        <v>960</v>
      </c>
      <c r="J935" s="35">
        <f>SUM(E935*I935/G935)</f>
        <v>960</v>
      </c>
    </row>
    <row r="936" spans="1:10">
      <c r="A936" s="17"/>
      <c r="B936" s="29"/>
      <c r="C936" s="30"/>
      <c r="D936" s="45" t="s">
        <v>421</v>
      </c>
      <c r="E936" s="43"/>
      <c r="F936" s="29"/>
      <c r="G936" s="49"/>
      <c r="H936" s="29"/>
      <c r="I936" s="47"/>
      <c r="J936" s="21">
        <f>SUM(J933:J935)</f>
        <v>56720</v>
      </c>
    </row>
    <row r="937" spans="1:10">
      <c r="A937" s="17"/>
      <c r="B937" s="29"/>
      <c r="C937" s="30"/>
      <c r="D937" s="18" t="s">
        <v>36</v>
      </c>
      <c r="E937" s="24"/>
      <c r="F937" s="25"/>
      <c r="G937" s="26"/>
      <c r="H937" s="25"/>
      <c r="I937" s="20"/>
      <c r="J937" s="36">
        <f>(J936)*0.10615</f>
        <v>6020.8279999999995</v>
      </c>
    </row>
    <row r="938" spans="1:10">
      <c r="A938" s="17"/>
      <c r="B938" s="29"/>
      <c r="C938" s="30"/>
      <c r="D938" s="18" t="s">
        <v>375</v>
      </c>
      <c r="E938" s="24"/>
      <c r="F938" s="25"/>
      <c r="G938" s="26"/>
      <c r="H938" s="25"/>
      <c r="I938" s="20"/>
      <c r="J938" s="36">
        <f>J937+J936</f>
        <v>62740.828000000001</v>
      </c>
    </row>
    <row r="939" spans="1:10">
      <c r="A939" s="17"/>
      <c r="B939" s="29"/>
      <c r="C939" s="30"/>
      <c r="D939" s="18" t="s">
        <v>38</v>
      </c>
      <c r="E939" s="43"/>
      <c r="F939" s="29"/>
      <c r="G939" s="49"/>
      <c r="H939" s="29"/>
      <c r="I939" s="47"/>
      <c r="J939" s="21">
        <f>ROUND(J938,0)</f>
        <v>62741</v>
      </c>
    </row>
    <row r="940" spans="1:10" ht="23.25">
      <c r="A940" s="130"/>
      <c r="B940" s="130"/>
      <c r="C940" s="131"/>
      <c r="D940" s="198" t="s">
        <v>422</v>
      </c>
      <c r="E940" s="130"/>
      <c r="F940" s="130"/>
      <c r="G940" s="130"/>
      <c r="H940" s="130"/>
      <c r="I940" s="130"/>
      <c r="J940" s="133"/>
    </row>
    <row r="941" spans="1:10">
      <c r="A941" s="31"/>
      <c r="B941" s="26"/>
      <c r="C941" s="22"/>
      <c r="D941" s="203" t="s">
        <v>378</v>
      </c>
      <c r="E941" s="43"/>
      <c r="F941" s="29"/>
      <c r="G941" s="49"/>
      <c r="H941" s="29"/>
      <c r="I941" s="62"/>
      <c r="J941" s="21"/>
    </row>
    <row r="942" spans="1:10" ht="178.5">
      <c r="A942" s="17"/>
      <c r="B942" s="103" t="s">
        <v>413</v>
      </c>
      <c r="C942" s="60"/>
      <c r="D942" s="27" t="s">
        <v>423</v>
      </c>
      <c r="E942" s="17"/>
      <c r="F942" s="17"/>
      <c r="G942" s="17"/>
      <c r="H942" s="17"/>
      <c r="I942" s="17"/>
      <c r="J942" s="63"/>
    </row>
    <row r="943" spans="1:10">
      <c r="A943" s="17"/>
      <c r="B943" s="43"/>
      <c r="C943" s="122"/>
      <c r="D943" s="44" t="s">
        <v>18</v>
      </c>
      <c r="E943" s="43"/>
      <c r="F943" s="48"/>
      <c r="G943" s="49"/>
      <c r="H943" s="48"/>
      <c r="I943" s="43"/>
      <c r="J943" s="35"/>
    </row>
    <row r="944" spans="1:10" ht="178.5">
      <c r="A944" s="17"/>
      <c r="B944" s="207" t="s">
        <v>424</v>
      </c>
      <c r="C944" s="124">
        <v>1</v>
      </c>
      <c r="D944" s="13" t="s">
        <v>425</v>
      </c>
      <c r="E944" s="43">
        <v>1</v>
      </c>
      <c r="F944" s="29" t="s">
        <v>24</v>
      </c>
      <c r="G944" s="49">
        <v>1</v>
      </c>
      <c r="H944" s="29" t="s">
        <v>24</v>
      </c>
      <c r="I944" s="24">
        <v>44000</v>
      </c>
      <c r="J944" s="35">
        <f>SUM(E944*I944/G944)</f>
        <v>44000</v>
      </c>
    </row>
    <row r="945" spans="1:10" ht="22.5">
      <c r="A945" s="17"/>
      <c r="B945" s="207" t="s">
        <v>417</v>
      </c>
      <c r="C945" s="124">
        <v>2</v>
      </c>
      <c r="D945" s="13" t="s">
        <v>418</v>
      </c>
      <c r="E945" s="43">
        <v>1</v>
      </c>
      <c r="F945" s="29" t="s">
        <v>24</v>
      </c>
      <c r="G945" s="49">
        <v>1</v>
      </c>
      <c r="H945" s="29" t="s">
        <v>24</v>
      </c>
      <c r="I945" s="24">
        <v>1760</v>
      </c>
      <c r="J945" s="35">
        <f>SUM(E945*I945/G945)</f>
        <v>1760</v>
      </c>
    </row>
    <row r="946" spans="1:10" ht="25.5">
      <c r="A946" s="17"/>
      <c r="B946" s="207" t="s">
        <v>419</v>
      </c>
      <c r="C946" s="124">
        <v>3</v>
      </c>
      <c r="D946" s="13" t="s">
        <v>420</v>
      </c>
      <c r="E946" s="43">
        <v>1</v>
      </c>
      <c r="F946" s="29" t="s">
        <v>24</v>
      </c>
      <c r="G946" s="49">
        <v>1</v>
      </c>
      <c r="H946" s="29" t="s">
        <v>24</v>
      </c>
      <c r="I946" s="24">
        <v>960</v>
      </c>
      <c r="J946" s="35">
        <f>SUM(E946*I946/G946)</f>
        <v>960</v>
      </c>
    </row>
    <row r="947" spans="1:10">
      <c r="A947" s="17"/>
      <c r="B947" s="29"/>
      <c r="C947" s="30"/>
      <c r="D947" s="45" t="s">
        <v>421</v>
      </c>
      <c r="E947" s="43"/>
      <c r="F947" s="29"/>
      <c r="G947" s="49"/>
      <c r="H947" s="29"/>
      <c r="I947" s="47"/>
      <c r="J947" s="21">
        <f>SUM(J944:J946)</f>
        <v>46720</v>
      </c>
    </row>
    <row r="948" spans="1:10">
      <c r="A948" s="17"/>
      <c r="B948" s="29"/>
      <c r="C948" s="30"/>
      <c r="D948" s="18" t="s">
        <v>36</v>
      </c>
      <c r="E948" s="24"/>
      <c r="F948" s="25"/>
      <c r="G948" s="26"/>
      <c r="H948" s="25"/>
      <c r="I948" s="20"/>
      <c r="J948" s="36">
        <f>(J947)*0.10615</f>
        <v>4959.3279999999995</v>
      </c>
    </row>
    <row r="949" spans="1:10">
      <c r="A949" s="17"/>
      <c r="B949" s="29"/>
      <c r="C949" s="30"/>
      <c r="D949" s="18" t="s">
        <v>375</v>
      </c>
      <c r="E949" s="24"/>
      <c r="F949" s="25"/>
      <c r="G949" s="26"/>
      <c r="H949" s="25"/>
      <c r="I949" s="20"/>
      <c r="J949" s="36">
        <f>J948+J947</f>
        <v>51679.328000000001</v>
      </c>
    </row>
    <row r="950" spans="1:10">
      <c r="A950" s="17"/>
      <c r="B950" s="29"/>
      <c r="C950" s="30"/>
      <c r="D950" s="18" t="s">
        <v>38</v>
      </c>
      <c r="E950" s="43"/>
      <c r="F950" s="29"/>
      <c r="G950" s="49"/>
      <c r="H950" s="29"/>
      <c r="I950" s="47"/>
      <c r="J950" s="21">
        <f>ROUND(J949,0)</f>
        <v>51679</v>
      </c>
    </row>
    <row r="951" spans="1:10" ht="31.5">
      <c r="A951" s="130"/>
      <c r="B951" s="130"/>
      <c r="C951" s="131"/>
      <c r="D951" s="198" t="s">
        <v>426</v>
      </c>
      <c r="E951" s="130"/>
      <c r="F951" s="130"/>
      <c r="G951" s="130"/>
      <c r="H951" s="130"/>
      <c r="I951" s="130"/>
      <c r="J951" s="133"/>
    </row>
    <row r="952" spans="1:10">
      <c r="A952" s="17"/>
      <c r="B952" s="43"/>
      <c r="C952" s="47"/>
      <c r="D952" s="203" t="s">
        <v>378</v>
      </c>
      <c r="E952" s="43"/>
      <c r="F952" s="29"/>
      <c r="G952" s="49"/>
      <c r="H952" s="29"/>
      <c r="I952" s="43"/>
      <c r="J952" s="35"/>
    </row>
    <row r="953" spans="1:10" ht="51">
      <c r="A953" s="17"/>
      <c r="B953" s="43" t="s">
        <v>247</v>
      </c>
      <c r="C953" s="60"/>
      <c r="D953" s="27" t="s">
        <v>427</v>
      </c>
      <c r="E953" s="17"/>
      <c r="F953" s="17"/>
      <c r="G953" s="17"/>
      <c r="H953" s="17"/>
      <c r="I953" s="17"/>
      <c r="J953" s="63"/>
    </row>
    <row r="954" spans="1:10">
      <c r="A954" s="17"/>
      <c r="B954" s="197"/>
      <c r="C954" s="122"/>
      <c r="D954" s="44" t="s">
        <v>18</v>
      </c>
      <c r="E954" s="43"/>
      <c r="F954" s="48"/>
      <c r="G954" s="49"/>
      <c r="H954" s="48"/>
      <c r="I954" s="43"/>
      <c r="J954" s="35"/>
    </row>
    <row r="955" spans="1:10" ht="51">
      <c r="A955" s="17"/>
      <c r="B955" s="43" t="s">
        <v>428</v>
      </c>
      <c r="C955" s="124">
        <v>1</v>
      </c>
      <c r="D955" s="59" t="s">
        <v>429</v>
      </c>
      <c r="E955" s="43">
        <v>1</v>
      </c>
      <c r="F955" s="29" t="s">
        <v>24</v>
      </c>
      <c r="G955" s="49">
        <v>1</v>
      </c>
      <c r="H955" s="29" t="s">
        <v>24</v>
      </c>
      <c r="I955" s="24">
        <v>990</v>
      </c>
      <c r="J955" s="35">
        <f>SUM(E955*I955/G955)</f>
        <v>990</v>
      </c>
    </row>
    <row r="956" spans="1:10">
      <c r="A956" s="17"/>
      <c r="B956" s="29"/>
      <c r="C956" s="30"/>
      <c r="D956" s="18" t="s">
        <v>36</v>
      </c>
      <c r="E956" s="24"/>
      <c r="F956" s="25"/>
      <c r="G956" s="26"/>
      <c r="H956" s="25"/>
      <c r="I956" s="20"/>
      <c r="J956" s="36">
        <f>(J955)*0.10615</f>
        <v>105.0885</v>
      </c>
    </row>
    <row r="957" spans="1:10">
      <c r="A957" s="17"/>
      <c r="B957" s="29"/>
      <c r="C957" s="30"/>
      <c r="D957" s="45" t="s">
        <v>181</v>
      </c>
      <c r="E957" s="43"/>
      <c r="F957" s="29"/>
      <c r="G957" s="49"/>
      <c r="H957" s="29"/>
      <c r="I957" s="47"/>
      <c r="J957" s="21">
        <f>SUM(J955:J956)</f>
        <v>1095.0885000000001</v>
      </c>
    </row>
    <row r="958" spans="1:10">
      <c r="A958" s="17"/>
      <c r="B958" s="29"/>
      <c r="C958" s="30"/>
      <c r="D958" s="18" t="s">
        <v>375</v>
      </c>
      <c r="E958" s="24"/>
      <c r="F958" s="25"/>
      <c r="G958" s="26"/>
      <c r="H958" s="25"/>
      <c r="I958" s="20"/>
      <c r="J958" s="36"/>
    </row>
    <row r="959" spans="1:10">
      <c r="A959" s="17"/>
      <c r="B959" s="29"/>
      <c r="C959" s="30"/>
      <c r="D959" s="18" t="s">
        <v>38</v>
      </c>
      <c r="E959" s="43"/>
      <c r="F959" s="29"/>
      <c r="G959" s="49"/>
      <c r="H959" s="29"/>
      <c r="I959" s="47"/>
      <c r="J959" s="21">
        <v>1095</v>
      </c>
    </row>
    <row r="960" spans="1:10" ht="23.25">
      <c r="A960" s="130"/>
      <c r="B960" s="130"/>
      <c r="C960" s="131"/>
      <c r="D960" s="198" t="s">
        <v>430</v>
      </c>
      <c r="E960" s="130"/>
      <c r="F960" s="130"/>
      <c r="G960" s="130"/>
      <c r="H960" s="130"/>
      <c r="I960" s="130"/>
      <c r="J960" s="133"/>
    </row>
    <row r="961" spans="1:10">
      <c r="A961" s="17"/>
      <c r="B961" s="43"/>
      <c r="C961" s="47"/>
      <c r="D961" s="203" t="s">
        <v>378</v>
      </c>
      <c r="E961" s="43"/>
      <c r="F961" s="29"/>
      <c r="G961" s="49"/>
      <c r="H961" s="29"/>
      <c r="I961" s="43"/>
      <c r="J961" s="35"/>
    </row>
    <row r="962" spans="1:10" ht="89.25">
      <c r="A962" s="17"/>
      <c r="B962" s="26" t="s">
        <v>431</v>
      </c>
      <c r="C962" s="60"/>
      <c r="D962" s="13" t="s">
        <v>432</v>
      </c>
      <c r="E962" s="17"/>
      <c r="F962" s="17"/>
      <c r="G962" s="17"/>
      <c r="H962" s="17"/>
      <c r="I962" s="17"/>
      <c r="J962" s="63"/>
    </row>
    <row r="963" spans="1:10">
      <c r="A963" s="31"/>
      <c r="B963" s="26"/>
      <c r="C963" s="22"/>
      <c r="D963" s="186" t="s">
        <v>145</v>
      </c>
      <c r="E963" s="35"/>
      <c r="F963" s="63"/>
      <c r="G963" s="129"/>
      <c r="H963" s="63"/>
      <c r="I963" s="21"/>
      <c r="J963" s="21"/>
    </row>
    <row r="964" spans="1:10">
      <c r="A964" s="31"/>
      <c r="B964" s="197"/>
      <c r="C964" s="22">
        <v>1</v>
      </c>
      <c r="D964" s="23" t="s">
        <v>9</v>
      </c>
      <c r="E964" s="35">
        <v>0.5</v>
      </c>
      <c r="F964" s="187" t="s">
        <v>10</v>
      </c>
      <c r="G964" s="129">
        <v>1</v>
      </c>
      <c r="H964" s="187" t="s">
        <v>10</v>
      </c>
      <c r="I964" s="188">
        <v>775</v>
      </c>
      <c r="J964" s="21">
        <f>SUM(E964*I964/G964)</f>
        <v>387.5</v>
      </c>
    </row>
    <row r="965" spans="1:10" ht="25.5">
      <c r="A965" s="31"/>
      <c r="B965" s="26"/>
      <c r="C965" s="22">
        <v>2</v>
      </c>
      <c r="D965" s="27" t="s">
        <v>11</v>
      </c>
      <c r="E965" s="35">
        <v>2</v>
      </c>
      <c r="F965" s="187" t="s">
        <v>10</v>
      </c>
      <c r="G965" s="129">
        <v>1</v>
      </c>
      <c r="H965" s="187" t="s">
        <v>10</v>
      </c>
      <c r="I965" s="188">
        <v>650</v>
      </c>
      <c r="J965" s="21">
        <f>SUM(E965*I965/G965)</f>
        <v>1300</v>
      </c>
    </row>
    <row r="966" spans="1:10">
      <c r="A966" s="31"/>
      <c r="B966" s="26"/>
      <c r="C966" s="22"/>
      <c r="D966" s="64" t="s">
        <v>316</v>
      </c>
      <c r="E966" s="35"/>
      <c r="F966" s="187"/>
      <c r="G966" s="129"/>
      <c r="H966" s="187"/>
      <c r="I966" s="21"/>
      <c r="J966" s="21">
        <f>SUM(J964:J965)</f>
        <v>1687.5</v>
      </c>
    </row>
    <row r="967" spans="1:10">
      <c r="A967" s="31"/>
      <c r="B967" s="26"/>
      <c r="C967" s="22"/>
      <c r="D967" s="64" t="s">
        <v>317</v>
      </c>
      <c r="E967" s="35"/>
      <c r="F967" s="187"/>
      <c r="G967" s="129"/>
      <c r="H967" s="187"/>
      <c r="I967" s="21"/>
      <c r="J967" s="21">
        <f>SUM(J966/100)</f>
        <v>16.875</v>
      </c>
    </row>
    <row r="968" spans="1:10">
      <c r="A968" s="31"/>
      <c r="B968" s="26"/>
      <c r="C968" s="22"/>
      <c r="D968" s="66" t="s">
        <v>43</v>
      </c>
      <c r="E968" s="31"/>
      <c r="F968" s="17"/>
      <c r="G968" s="26"/>
      <c r="H968" s="17"/>
      <c r="I968" s="20"/>
      <c r="J968" s="21">
        <f>J967*0.4</f>
        <v>6.75</v>
      </c>
    </row>
    <row r="969" spans="1:10">
      <c r="A969" s="31"/>
      <c r="B969" s="26"/>
      <c r="C969" s="22"/>
      <c r="D969" s="13" t="s">
        <v>17</v>
      </c>
      <c r="E969" s="31"/>
      <c r="F969" s="17"/>
      <c r="G969" s="26"/>
      <c r="H969" s="17"/>
      <c r="I969" s="20"/>
      <c r="J969" s="21">
        <f>SUM(J967:J968)</f>
        <v>23.625</v>
      </c>
    </row>
    <row r="970" spans="1:10">
      <c r="A970" s="17"/>
      <c r="B970" s="43"/>
      <c r="C970" s="122"/>
      <c r="D970" s="44" t="s">
        <v>18</v>
      </c>
      <c r="E970" s="43"/>
      <c r="F970" s="48"/>
      <c r="G970" s="49"/>
      <c r="H970" s="48"/>
      <c r="I970" s="43"/>
      <c r="J970" s="35"/>
    </row>
    <row r="971" spans="1:10" ht="89.25">
      <c r="A971" s="17"/>
      <c r="B971" s="43" t="s">
        <v>433</v>
      </c>
      <c r="C971" s="124">
        <v>3</v>
      </c>
      <c r="D971" s="13" t="s">
        <v>434</v>
      </c>
      <c r="E971" s="43">
        <v>1</v>
      </c>
      <c r="F971" s="29" t="s">
        <v>32</v>
      </c>
      <c r="G971" s="49">
        <v>1</v>
      </c>
      <c r="H971" s="29" t="s">
        <v>32</v>
      </c>
      <c r="I971" s="24">
        <v>292</v>
      </c>
      <c r="J971" s="35">
        <f>SUM(E971*I971/G971)</f>
        <v>292</v>
      </c>
    </row>
    <row r="972" spans="1:10">
      <c r="A972" s="17"/>
      <c r="B972" s="29"/>
      <c r="C972" s="30"/>
      <c r="D972" s="45" t="s">
        <v>181</v>
      </c>
      <c r="E972" s="43"/>
      <c r="F972" s="29"/>
      <c r="G972" s="49"/>
      <c r="H972" s="29"/>
      <c r="I972" s="47"/>
      <c r="J972" s="21">
        <f>SUM(J971:J971)</f>
        <v>292</v>
      </c>
    </row>
    <row r="973" spans="1:10">
      <c r="A973" s="17"/>
      <c r="B973" s="29"/>
      <c r="C973" s="30"/>
      <c r="D973" s="57" t="s">
        <v>435</v>
      </c>
      <c r="E973" s="43"/>
      <c r="F973" s="29"/>
      <c r="G973" s="49"/>
      <c r="H973" s="29"/>
      <c r="I973" s="47"/>
      <c r="J973" s="21">
        <f>J972+J969</f>
        <v>315.625</v>
      </c>
    </row>
    <row r="974" spans="1:10">
      <c r="A974" s="17"/>
      <c r="B974" s="29"/>
      <c r="C974" s="30"/>
      <c r="D974" s="18" t="s">
        <v>36</v>
      </c>
      <c r="E974" s="24"/>
      <c r="F974" s="25"/>
      <c r="G974" s="26"/>
      <c r="H974" s="25"/>
      <c r="I974" s="20"/>
      <c r="J974" s="36">
        <f>(J973)*0.10615</f>
        <v>33.50359375</v>
      </c>
    </row>
    <row r="975" spans="1:10">
      <c r="A975" s="17"/>
      <c r="B975" s="29"/>
      <c r="C975" s="30"/>
      <c r="D975" s="45" t="s">
        <v>181</v>
      </c>
      <c r="E975" s="43"/>
      <c r="F975" s="29"/>
      <c r="G975" s="49"/>
      <c r="H975" s="29"/>
      <c r="I975" s="47"/>
      <c r="J975" s="21">
        <f>SUM(J973:J974)</f>
        <v>349.12859374999999</v>
      </c>
    </row>
    <row r="976" spans="1:10">
      <c r="A976" s="17"/>
      <c r="B976" s="29"/>
      <c r="C976" s="30"/>
      <c r="D976" s="18" t="s">
        <v>38</v>
      </c>
      <c r="E976" s="43"/>
      <c r="F976" s="29"/>
      <c r="G976" s="49"/>
      <c r="H976" s="29"/>
      <c r="I976" s="47"/>
      <c r="J976" s="21">
        <v>349</v>
      </c>
    </row>
    <row r="977" spans="1:10" ht="23.25">
      <c r="A977" s="130"/>
      <c r="B977" s="130"/>
      <c r="C977" s="131"/>
      <c r="D977" s="132" t="s">
        <v>436</v>
      </c>
      <c r="E977" s="130"/>
      <c r="F977" s="130"/>
      <c r="G977" s="130"/>
      <c r="H977" s="130"/>
      <c r="I977" s="130"/>
      <c r="J977" s="133"/>
    </row>
    <row r="978" spans="1:10">
      <c r="A978" s="17"/>
      <c r="B978" s="43"/>
      <c r="C978" s="47"/>
      <c r="D978" s="203" t="s">
        <v>378</v>
      </c>
      <c r="E978" s="43"/>
      <c r="F978" s="29"/>
      <c r="G978" s="49"/>
      <c r="H978" s="29"/>
      <c r="I978" s="43"/>
      <c r="J978" s="35"/>
    </row>
    <row r="979" spans="1:10" ht="38.25">
      <c r="A979" s="17"/>
      <c r="B979" s="43" t="s">
        <v>247</v>
      </c>
      <c r="C979" s="60"/>
      <c r="D979" s="13" t="s">
        <v>437</v>
      </c>
      <c r="E979" s="17"/>
      <c r="F979" s="17"/>
      <c r="G979" s="17"/>
      <c r="H979" s="17"/>
      <c r="I979" s="17"/>
      <c r="J979" s="63"/>
    </row>
    <row r="980" spans="1:10">
      <c r="A980" s="17"/>
      <c r="B980" s="197"/>
      <c r="C980" s="122"/>
      <c r="D980" s="44" t="s">
        <v>18</v>
      </c>
      <c r="E980" s="43"/>
      <c r="F980" s="48"/>
      <c r="G980" s="49"/>
      <c r="H980" s="48"/>
      <c r="I980" s="43"/>
      <c r="J980" s="35"/>
    </row>
    <row r="981" spans="1:10">
      <c r="A981" s="17"/>
      <c r="B981" s="208" t="s">
        <v>438</v>
      </c>
      <c r="C981" s="124">
        <v>1</v>
      </c>
      <c r="D981" s="13" t="s">
        <v>439</v>
      </c>
      <c r="E981" s="43">
        <v>1</v>
      </c>
      <c r="F981" s="29" t="s">
        <v>24</v>
      </c>
      <c r="G981" s="49">
        <v>1</v>
      </c>
      <c r="H981" s="29" t="s">
        <v>24</v>
      </c>
      <c r="I981" s="24">
        <v>166</v>
      </c>
      <c r="J981" s="35">
        <f>SUM(E981*I981/G981)</f>
        <v>166</v>
      </c>
    </row>
    <row r="982" spans="1:10">
      <c r="A982" s="17"/>
      <c r="B982" s="29"/>
      <c r="C982" s="30"/>
      <c r="D982" s="45" t="s">
        <v>181</v>
      </c>
      <c r="E982" s="43"/>
      <c r="F982" s="29"/>
      <c r="G982" s="49"/>
      <c r="H982" s="29"/>
      <c r="I982" s="47"/>
      <c r="J982" s="21">
        <f>SUM(J981:J981)</f>
        <v>166</v>
      </c>
    </row>
    <row r="983" spans="1:10">
      <c r="A983" s="17"/>
      <c r="B983" s="29"/>
      <c r="C983" s="30"/>
      <c r="D983" s="18" t="s">
        <v>36</v>
      </c>
      <c r="E983" s="24"/>
      <c r="F983" s="25"/>
      <c r="G983" s="26"/>
      <c r="H983" s="25"/>
      <c r="I983" s="20"/>
      <c r="J983" s="36">
        <f>(J982)*0.10615</f>
        <v>17.620899999999999</v>
      </c>
    </row>
    <row r="984" spans="1:10">
      <c r="A984" s="17"/>
      <c r="B984" s="29"/>
      <c r="C984" s="30"/>
      <c r="D984" s="45" t="s">
        <v>181</v>
      </c>
      <c r="E984" s="43"/>
      <c r="F984" s="29"/>
      <c r="G984" s="49"/>
      <c r="H984" s="29"/>
      <c r="I984" s="47"/>
      <c r="J984" s="21">
        <f>SUM(J982:J983)</f>
        <v>183.62090000000001</v>
      </c>
    </row>
    <row r="985" spans="1:10">
      <c r="A985" s="17"/>
      <c r="B985" s="29"/>
      <c r="C985" s="30"/>
      <c r="D985" s="18" t="s">
        <v>38</v>
      </c>
      <c r="E985" s="43"/>
      <c r="F985" s="29"/>
      <c r="G985" s="49"/>
      <c r="H985" s="29"/>
      <c r="I985" s="47"/>
      <c r="J985" s="21">
        <v>184</v>
      </c>
    </row>
    <row r="986" spans="1:10" ht="23.25">
      <c r="A986" s="130"/>
      <c r="B986" s="130"/>
      <c r="C986" s="131"/>
      <c r="D986" s="198" t="s">
        <v>440</v>
      </c>
      <c r="E986" s="130"/>
      <c r="F986" s="130"/>
      <c r="G986" s="130"/>
      <c r="H986" s="130"/>
      <c r="I986" s="130"/>
      <c r="J986" s="133"/>
    </row>
    <row r="987" spans="1:10">
      <c r="A987" s="17"/>
      <c r="B987" s="43"/>
      <c r="C987" s="47"/>
      <c r="D987" s="203" t="s">
        <v>378</v>
      </c>
      <c r="E987" s="43"/>
      <c r="F987" s="29"/>
      <c r="G987" s="49"/>
      <c r="H987" s="29"/>
      <c r="I987" s="43"/>
      <c r="J987" s="35"/>
    </row>
    <row r="988" spans="1:10" ht="38.25">
      <c r="A988" s="17"/>
      <c r="B988" s="103"/>
      <c r="C988" s="60"/>
      <c r="D988" s="13" t="s">
        <v>441</v>
      </c>
      <c r="E988" s="17"/>
      <c r="F988" s="17"/>
      <c r="G988" s="17"/>
      <c r="H988" s="17"/>
      <c r="I988" s="17"/>
      <c r="J988" s="63"/>
    </row>
    <row r="989" spans="1:10">
      <c r="A989" s="17"/>
      <c r="B989" s="43"/>
      <c r="C989" s="122"/>
      <c r="D989" s="44" t="s">
        <v>18</v>
      </c>
      <c r="E989" s="43"/>
      <c r="F989" s="48"/>
      <c r="G989" s="49"/>
      <c r="H989" s="48"/>
      <c r="I989" s="43"/>
      <c r="J989" s="35"/>
    </row>
    <row r="990" spans="1:10" ht="51">
      <c r="A990" s="17"/>
      <c r="B990" s="43" t="s">
        <v>442</v>
      </c>
      <c r="C990" s="124">
        <v>1</v>
      </c>
      <c r="D990" s="13" t="s">
        <v>443</v>
      </c>
      <c r="E990" s="43">
        <v>1</v>
      </c>
      <c r="F990" s="29" t="s">
        <v>24</v>
      </c>
      <c r="G990" s="49">
        <v>1</v>
      </c>
      <c r="H990" s="29" t="s">
        <v>24</v>
      </c>
      <c r="I990" s="24">
        <v>550</v>
      </c>
      <c r="J990" s="35">
        <f>SUM(E990*I990/G990)</f>
        <v>550</v>
      </c>
    </row>
    <row r="991" spans="1:10">
      <c r="A991" s="17"/>
      <c r="B991" s="29"/>
      <c r="C991" s="30"/>
      <c r="D991" s="45" t="s">
        <v>181</v>
      </c>
      <c r="E991" s="43"/>
      <c r="F991" s="29"/>
      <c r="G991" s="49"/>
      <c r="H991" s="29"/>
      <c r="I991" s="47"/>
      <c r="J991" s="21">
        <f>SUM(J990:J990)</f>
        <v>550</v>
      </c>
    </row>
    <row r="992" spans="1:10">
      <c r="A992" s="17"/>
      <c r="B992" s="29"/>
      <c r="C992" s="30"/>
      <c r="D992" s="18" t="s">
        <v>38</v>
      </c>
      <c r="E992" s="43"/>
      <c r="F992" s="29"/>
      <c r="G992" s="49"/>
      <c r="H992" s="29"/>
      <c r="I992" s="47"/>
      <c r="J992" s="21">
        <f>ROUND(J991,0)</f>
        <v>550</v>
      </c>
    </row>
    <row r="993" spans="1:10">
      <c r="A993" s="132"/>
      <c r="B993" s="132"/>
      <c r="C993" s="4"/>
      <c r="D993" s="132" t="s">
        <v>444</v>
      </c>
      <c r="E993" s="209"/>
      <c r="F993" s="132"/>
      <c r="G993" s="210"/>
      <c r="H993" s="132"/>
      <c r="I993" s="211"/>
      <c r="J993" s="212"/>
    </row>
    <row r="994" spans="1:10">
      <c r="A994" s="213"/>
      <c r="B994" s="213"/>
      <c r="C994" s="214"/>
      <c r="D994" s="203" t="s">
        <v>378</v>
      </c>
      <c r="E994" s="215"/>
      <c r="F994" s="213"/>
      <c r="G994" s="216"/>
      <c r="H994" s="213"/>
      <c r="I994" s="217"/>
      <c r="J994" s="218"/>
    </row>
    <row r="995" spans="1:10" ht="216.75">
      <c r="A995" s="17"/>
      <c r="B995" s="103" t="s">
        <v>217</v>
      </c>
      <c r="C995" s="60"/>
      <c r="D995" s="13" t="s">
        <v>445</v>
      </c>
      <c r="E995" s="13"/>
      <c r="F995" s="13"/>
      <c r="G995" s="13"/>
      <c r="H995" s="13"/>
      <c r="I995" s="13"/>
      <c r="J995" s="16"/>
    </row>
    <row r="996" spans="1:10">
      <c r="A996" s="17"/>
      <c r="B996" s="196"/>
      <c r="C996" s="122"/>
      <c r="D996" s="44" t="s">
        <v>18</v>
      </c>
      <c r="E996" s="43"/>
      <c r="F996" s="48"/>
      <c r="G996" s="49"/>
      <c r="H996" s="48"/>
      <c r="I996" s="43"/>
      <c r="J996" s="35"/>
    </row>
    <row r="997" spans="1:10" ht="216.75">
      <c r="A997" s="17"/>
      <c r="B997" s="196" t="s">
        <v>446</v>
      </c>
      <c r="C997" s="124">
        <v>1</v>
      </c>
      <c r="D997" s="13" t="s">
        <v>445</v>
      </c>
      <c r="E997" s="26">
        <v>1</v>
      </c>
      <c r="F997" s="17" t="s">
        <v>29</v>
      </c>
      <c r="G997" s="26">
        <v>1</v>
      </c>
      <c r="H997" s="17" t="s">
        <v>29</v>
      </c>
      <c r="I997" s="60">
        <v>130000</v>
      </c>
      <c r="J997" s="35">
        <f>SUM(E997*I997/G997)</f>
        <v>130000</v>
      </c>
    </row>
    <row r="998" spans="1:10">
      <c r="A998" s="17"/>
      <c r="B998" s="43"/>
      <c r="C998" s="47"/>
      <c r="D998" s="45" t="s">
        <v>170</v>
      </c>
      <c r="E998" s="43"/>
      <c r="F998" s="29"/>
      <c r="G998" s="49"/>
      <c r="H998" s="29"/>
      <c r="I998" s="43"/>
      <c r="J998" s="35">
        <f>SUM(J997:J997)</f>
        <v>130000</v>
      </c>
    </row>
    <row r="999" spans="1:10">
      <c r="A999" s="17"/>
      <c r="B999" s="29"/>
      <c r="C999" s="30"/>
      <c r="D999" s="18" t="s">
        <v>36</v>
      </c>
      <c r="E999" s="24"/>
      <c r="F999" s="25"/>
      <c r="G999" s="26"/>
      <c r="H999" s="25"/>
      <c r="I999" s="20"/>
      <c r="J999" s="36">
        <f>(J998)*0.10615</f>
        <v>13799.5</v>
      </c>
    </row>
    <row r="1000" spans="1:10">
      <c r="A1000" s="17"/>
      <c r="B1000" s="29"/>
      <c r="C1000" s="30"/>
      <c r="D1000" s="45" t="s">
        <v>181</v>
      </c>
      <c r="E1000" s="43"/>
      <c r="F1000" s="29"/>
      <c r="G1000" s="49"/>
      <c r="H1000" s="29"/>
      <c r="I1000" s="47"/>
      <c r="J1000" s="21">
        <f>SUM(J998:J999)</f>
        <v>143799.5</v>
      </c>
    </row>
    <row r="1001" spans="1:10">
      <c r="A1001" s="17"/>
      <c r="B1001" s="29"/>
      <c r="C1001" s="30"/>
      <c r="D1001" s="18" t="s">
        <v>38</v>
      </c>
      <c r="E1001" s="43"/>
      <c r="F1001" s="29"/>
      <c r="G1001" s="49"/>
      <c r="H1001" s="29"/>
      <c r="I1001" s="47"/>
      <c r="J1001" s="21">
        <f>ROUND(J1000,0)</f>
        <v>143800</v>
      </c>
    </row>
    <row r="1002" spans="1:10">
      <c r="A1002" s="38"/>
      <c r="B1002" s="219"/>
      <c r="C1002" s="220"/>
      <c r="D1002" s="221" t="s">
        <v>447</v>
      </c>
      <c r="E1002" s="219"/>
      <c r="F1002" s="39"/>
      <c r="G1002" s="222"/>
      <c r="H1002" s="39"/>
      <c r="I1002" s="219"/>
      <c r="J1002" s="223"/>
    </row>
    <row r="1003" spans="1:10">
      <c r="A1003" s="17"/>
      <c r="B1003" s="43"/>
      <c r="C1003" s="47"/>
      <c r="D1003" s="203" t="s">
        <v>378</v>
      </c>
      <c r="E1003" s="43"/>
      <c r="F1003" s="29"/>
      <c r="G1003" s="49"/>
      <c r="H1003" s="29"/>
      <c r="I1003" s="43"/>
      <c r="J1003" s="35"/>
    </row>
    <row r="1004" spans="1:10" ht="25.5">
      <c r="A1004" s="17"/>
      <c r="B1004" s="103"/>
      <c r="C1004" s="60"/>
      <c r="D1004" s="13" t="s">
        <v>448</v>
      </c>
      <c r="E1004" s="13"/>
      <c r="F1004" s="13"/>
      <c r="G1004" s="13"/>
      <c r="H1004" s="13"/>
      <c r="I1004" s="13"/>
      <c r="J1004" s="16"/>
    </row>
    <row r="1005" spans="1:10">
      <c r="A1005" s="17"/>
      <c r="B1005" s="196"/>
      <c r="C1005" s="122"/>
      <c r="D1005" s="44" t="s">
        <v>18</v>
      </c>
      <c r="E1005" s="43"/>
      <c r="F1005" s="48"/>
      <c r="G1005" s="49"/>
      <c r="H1005" s="48"/>
      <c r="I1005" s="43"/>
      <c r="J1005" s="35"/>
    </row>
    <row r="1006" spans="1:10" ht="25.5">
      <c r="A1006" s="17"/>
      <c r="B1006" s="196" t="s">
        <v>449</v>
      </c>
      <c r="C1006" s="124">
        <v>1</v>
      </c>
      <c r="D1006" s="13" t="s">
        <v>448</v>
      </c>
      <c r="E1006" s="26">
        <v>1</v>
      </c>
      <c r="F1006" s="17" t="s">
        <v>29</v>
      </c>
      <c r="G1006" s="26">
        <v>1</v>
      </c>
      <c r="H1006" s="17" t="s">
        <v>29</v>
      </c>
      <c r="I1006" s="60">
        <v>13752</v>
      </c>
      <c r="J1006" s="35">
        <f>SUM(E1006*I1006/G1006)</f>
        <v>13752</v>
      </c>
    </row>
    <row r="1007" spans="1:10">
      <c r="A1007" s="17"/>
      <c r="B1007" s="43"/>
      <c r="C1007" s="47"/>
      <c r="D1007" s="45" t="s">
        <v>170</v>
      </c>
      <c r="E1007" s="43"/>
      <c r="F1007" s="29"/>
      <c r="G1007" s="49"/>
      <c r="H1007" s="29"/>
      <c r="I1007" s="43"/>
      <c r="J1007" s="35">
        <f>SUM(J1006:J1006)</f>
        <v>13752</v>
      </c>
    </row>
    <row r="1008" spans="1:10">
      <c r="A1008" s="17"/>
      <c r="B1008" s="29"/>
      <c r="C1008" s="30"/>
      <c r="D1008" s="18" t="s">
        <v>36</v>
      </c>
      <c r="E1008" s="24"/>
      <c r="F1008" s="25"/>
      <c r="G1008" s="26"/>
      <c r="H1008" s="25"/>
      <c r="I1008" s="20"/>
      <c r="J1008" s="36">
        <f>(J1007)*0.10615</f>
        <v>1459.7747999999999</v>
      </c>
    </row>
    <row r="1009" spans="1:10">
      <c r="A1009" s="17"/>
      <c r="B1009" s="29"/>
      <c r="C1009" s="30"/>
      <c r="D1009" s="45" t="s">
        <v>181</v>
      </c>
      <c r="E1009" s="43"/>
      <c r="F1009" s="29"/>
      <c r="G1009" s="49"/>
      <c r="H1009" s="29"/>
      <c r="I1009" s="47"/>
      <c r="J1009" s="21">
        <f>SUM(J1007:J1008)</f>
        <v>15211.774799999999</v>
      </c>
    </row>
    <row r="1010" spans="1:10">
      <c r="A1010" s="17"/>
      <c r="B1010" s="29"/>
      <c r="C1010" s="30"/>
      <c r="D1010" s="18" t="s">
        <v>38</v>
      </c>
      <c r="E1010" s="43"/>
      <c r="F1010" s="29"/>
      <c r="G1010" s="49"/>
      <c r="H1010" s="29"/>
      <c r="I1010" s="47"/>
      <c r="J1010" s="21">
        <f>ROUND(J1009,0)</f>
        <v>15212</v>
      </c>
    </row>
    <row r="1011" spans="1:10">
      <c r="A1011" s="38"/>
      <c r="B1011" s="219"/>
      <c r="C1011" s="220"/>
      <c r="D1011" s="221" t="s">
        <v>450</v>
      </c>
      <c r="E1011" s="219"/>
      <c r="F1011" s="39"/>
      <c r="G1011" s="222"/>
      <c r="H1011" s="39"/>
      <c r="I1011" s="219"/>
      <c r="J1011" s="223"/>
    </row>
    <row r="1012" spans="1:10">
      <c r="A1012" s="17"/>
      <c r="B1012" s="43"/>
      <c r="C1012" s="47"/>
      <c r="D1012" s="203" t="s">
        <v>378</v>
      </c>
      <c r="E1012" s="43"/>
      <c r="F1012" s="29"/>
      <c r="G1012" s="49"/>
      <c r="H1012" s="29"/>
      <c r="I1012" s="43"/>
      <c r="J1012" s="35"/>
    </row>
    <row r="1013" spans="1:10" ht="51">
      <c r="A1013" s="17"/>
      <c r="B1013" s="103" t="s">
        <v>451</v>
      </c>
      <c r="C1013" s="60"/>
      <c r="D1013" s="13" t="s">
        <v>452</v>
      </c>
      <c r="E1013" s="13"/>
      <c r="F1013" s="13"/>
      <c r="G1013" s="13"/>
      <c r="H1013" s="13"/>
      <c r="I1013" s="13"/>
      <c r="J1013" s="16"/>
    </row>
    <row r="1014" spans="1:10">
      <c r="A1014" s="17"/>
      <c r="B1014" s="196"/>
      <c r="C1014" s="122"/>
      <c r="D1014" s="44" t="s">
        <v>18</v>
      </c>
      <c r="E1014" s="43"/>
      <c r="F1014" s="48"/>
      <c r="G1014" s="49"/>
      <c r="H1014" s="48"/>
      <c r="I1014" s="43"/>
      <c r="J1014" s="35"/>
    </row>
    <row r="1015" spans="1:10" ht="38.25">
      <c r="A1015" s="17"/>
      <c r="B1015" s="196" t="s">
        <v>453</v>
      </c>
      <c r="C1015" s="124">
        <v>1</v>
      </c>
      <c r="D1015" s="13" t="s">
        <v>454</v>
      </c>
      <c r="E1015" s="26">
        <v>1</v>
      </c>
      <c r="F1015" s="17" t="s">
        <v>29</v>
      </c>
      <c r="G1015" s="26">
        <v>1</v>
      </c>
      <c r="H1015" s="17" t="s">
        <v>29</v>
      </c>
      <c r="I1015" s="60">
        <v>851</v>
      </c>
      <c r="J1015" s="35">
        <f>SUM(E1015*I1015/G1015)</f>
        <v>851</v>
      </c>
    </row>
    <row r="1016" spans="1:10">
      <c r="A1016" s="17"/>
      <c r="B1016" s="43"/>
      <c r="C1016" s="47"/>
      <c r="D1016" s="45" t="s">
        <v>170</v>
      </c>
      <c r="E1016" s="43"/>
      <c r="F1016" s="29"/>
      <c r="G1016" s="49"/>
      <c r="H1016" s="29"/>
      <c r="I1016" s="43"/>
      <c r="J1016" s="35">
        <f>SUM(J1015:J1015)</f>
        <v>851</v>
      </c>
    </row>
    <row r="1017" spans="1:10" ht="25.5">
      <c r="A1017" s="17"/>
      <c r="B1017" s="29" t="s">
        <v>306</v>
      </c>
      <c r="C1017" s="30">
        <v>2</v>
      </c>
      <c r="D1017" s="45" t="s">
        <v>455</v>
      </c>
      <c r="E1017" s="43">
        <v>1</v>
      </c>
      <c r="F1017" s="29" t="s">
        <v>456</v>
      </c>
      <c r="G1017" s="49">
        <v>1</v>
      </c>
      <c r="H1017" s="29" t="s">
        <v>456</v>
      </c>
      <c r="I1017" s="24">
        <v>90</v>
      </c>
      <c r="J1017" s="35">
        <f>SUM(E1017*I1017/G1017)</f>
        <v>90</v>
      </c>
    </row>
    <row r="1018" spans="1:10">
      <c r="A1018" s="31"/>
      <c r="B1018" s="26"/>
      <c r="C1018" s="22"/>
      <c r="D1018" s="18" t="s">
        <v>35</v>
      </c>
      <c r="E1018" s="17"/>
      <c r="F1018" s="17"/>
      <c r="G1018" s="17"/>
      <c r="H1018" s="31"/>
      <c r="I1018" s="20"/>
      <c r="J1018" s="21">
        <f>J1017+J1016</f>
        <v>941</v>
      </c>
    </row>
    <row r="1019" spans="1:10">
      <c r="A1019" s="17"/>
      <c r="B1019" s="29"/>
      <c r="C1019" s="30"/>
      <c r="D1019" s="18" t="s">
        <v>36</v>
      </c>
      <c r="E1019" s="24"/>
      <c r="F1019" s="25"/>
      <c r="G1019" s="26"/>
      <c r="H1019" s="25"/>
      <c r="I1019" s="20"/>
      <c r="J1019" s="36">
        <f>(J1018)*0.10615</f>
        <v>99.887149999999991</v>
      </c>
    </row>
    <row r="1020" spans="1:10">
      <c r="A1020" s="17"/>
      <c r="B1020" s="29"/>
      <c r="C1020" s="30"/>
      <c r="D1020" s="45" t="s">
        <v>181</v>
      </c>
      <c r="E1020" s="43"/>
      <c r="F1020" s="29"/>
      <c r="G1020" s="49"/>
      <c r="H1020" s="29"/>
      <c r="I1020" s="47"/>
      <c r="J1020" s="21">
        <f>SUM(J1018:J1019)</f>
        <v>1040.88715</v>
      </c>
    </row>
    <row r="1021" spans="1:10">
      <c r="A1021" s="17"/>
      <c r="B1021" s="29"/>
      <c r="C1021" s="30"/>
      <c r="D1021" s="18" t="s">
        <v>38</v>
      </c>
      <c r="E1021" s="43"/>
      <c r="F1021" s="29"/>
      <c r="G1021" s="49"/>
      <c r="H1021" s="29"/>
      <c r="I1021" s="47"/>
      <c r="J1021" s="21">
        <f>ROUND(J1020,0)</f>
        <v>1041</v>
      </c>
    </row>
    <row r="1022" spans="1:10">
      <c r="A1022" s="38"/>
      <c r="B1022" s="219"/>
      <c r="C1022" s="220"/>
      <c r="D1022" s="221" t="s">
        <v>457</v>
      </c>
      <c r="E1022" s="219"/>
      <c r="F1022" s="39"/>
      <c r="G1022" s="222"/>
      <c r="H1022" s="39"/>
      <c r="I1022" s="219"/>
      <c r="J1022" s="223"/>
    </row>
    <row r="1023" spans="1:10">
      <c r="A1023" s="17"/>
      <c r="B1023" s="43"/>
      <c r="C1023" s="47"/>
      <c r="D1023" s="203" t="s">
        <v>378</v>
      </c>
      <c r="E1023" s="43"/>
      <c r="F1023" s="29"/>
      <c r="G1023" s="49"/>
      <c r="H1023" s="29"/>
      <c r="I1023" s="43"/>
      <c r="J1023" s="35"/>
    </row>
    <row r="1024" spans="1:10" ht="25.5">
      <c r="A1024" s="83"/>
      <c r="B1024" s="224" t="s">
        <v>442</v>
      </c>
      <c r="C1024" s="225"/>
      <c r="D1024" s="226" t="s">
        <v>458</v>
      </c>
      <c r="E1024" s="226"/>
      <c r="F1024" s="226"/>
      <c r="G1024" s="226"/>
      <c r="H1024" s="226"/>
      <c r="I1024" s="226"/>
      <c r="J1024" s="87"/>
    </row>
    <row r="1025" spans="1:10" ht="38.25">
      <c r="A1025" s="17"/>
      <c r="B1025" s="196" t="s">
        <v>459</v>
      </c>
      <c r="C1025" s="122"/>
      <c r="D1025" s="44" t="s">
        <v>18</v>
      </c>
      <c r="E1025" s="43"/>
      <c r="F1025" s="48"/>
      <c r="G1025" s="49"/>
      <c r="H1025" s="48"/>
      <c r="I1025" s="43"/>
      <c r="J1025" s="35"/>
    </row>
    <row r="1026" spans="1:10" ht="25.5">
      <c r="A1026" s="17"/>
      <c r="B1026" s="196"/>
      <c r="C1026" s="124">
        <v>1</v>
      </c>
      <c r="D1026" s="13" t="s">
        <v>460</v>
      </c>
      <c r="E1026" s="26">
        <v>1</v>
      </c>
      <c r="F1026" s="17" t="s">
        <v>29</v>
      </c>
      <c r="G1026" s="26">
        <v>1</v>
      </c>
      <c r="H1026" s="17" t="s">
        <v>29</v>
      </c>
      <c r="I1026" s="227">
        <v>637</v>
      </c>
      <c r="J1026" s="35">
        <f>SUM(E1026*I1026/G1026)</f>
        <v>637</v>
      </c>
    </row>
    <row r="1027" spans="1:10">
      <c r="A1027" s="17"/>
      <c r="B1027" s="43"/>
      <c r="C1027" s="47"/>
      <c r="D1027" s="45" t="s">
        <v>170</v>
      </c>
      <c r="E1027" s="43"/>
      <c r="F1027" s="29"/>
      <c r="G1027" s="49"/>
      <c r="H1027" s="29"/>
      <c r="I1027" s="43"/>
      <c r="J1027" s="35">
        <f>SUM(J1026:J1026)</f>
        <v>637</v>
      </c>
    </row>
    <row r="1028" spans="1:10">
      <c r="A1028" s="38"/>
      <c r="B1028" s="219"/>
      <c r="C1028" s="220"/>
      <c r="D1028" s="221" t="s">
        <v>461</v>
      </c>
      <c r="E1028" s="219"/>
      <c r="F1028" s="39"/>
      <c r="G1028" s="222"/>
      <c r="H1028" s="39"/>
      <c r="I1028" s="219"/>
      <c r="J1028" s="223"/>
    </row>
    <row r="1029" spans="1:10">
      <c r="A1029" s="17"/>
      <c r="B1029" s="43"/>
      <c r="C1029" s="47"/>
      <c r="D1029" s="203" t="s">
        <v>378</v>
      </c>
      <c r="E1029" s="43"/>
      <c r="F1029" s="29"/>
      <c r="G1029" s="49"/>
      <c r="H1029" s="29"/>
      <c r="I1029" s="43"/>
      <c r="J1029" s="35"/>
    </row>
    <row r="1030" spans="1:10" ht="25.5">
      <c r="A1030" s="83"/>
      <c r="B1030" s="224" t="s">
        <v>442</v>
      </c>
      <c r="C1030" s="225"/>
      <c r="D1030" s="226" t="s">
        <v>462</v>
      </c>
      <c r="E1030" s="226"/>
      <c r="F1030" s="226"/>
      <c r="G1030" s="226"/>
      <c r="H1030" s="226"/>
      <c r="I1030" s="226"/>
      <c r="J1030" s="87"/>
    </row>
    <row r="1031" spans="1:10" ht="38.25">
      <c r="A1031" s="17"/>
      <c r="B1031" s="196" t="s">
        <v>459</v>
      </c>
      <c r="C1031" s="122"/>
      <c r="D1031" s="44" t="s">
        <v>18</v>
      </c>
      <c r="E1031" s="43"/>
      <c r="F1031" s="48"/>
      <c r="G1031" s="49"/>
      <c r="H1031" s="48"/>
      <c r="I1031" s="43"/>
      <c r="J1031" s="35"/>
    </row>
    <row r="1032" spans="1:10" ht="25.5">
      <c r="A1032" s="17"/>
      <c r="B1032" s="196"/>
      <c r="C1032" s="122"/>
      <c r="D1032" s="13" t="s">
        <v>463</v>
      </c>
      <c r="E1032" s="26">
        <v>1</v>
      </c>
      <c r="F1032" s="17" t="s">
        <v>29</v>
      </c>
      <c r="G1032" s="26">
        <v>1</v>
      </c>
      <c r="H1032" s="17" t="s">
        <v>29</v>
      </c>
      <c r="I1032" s="227">
        <v>1200</v>
      </c>
      <c r="J1032" s="35">
        <f>SUM(E1032*I1032/G1032)</f>
        <v>1200</v>
      </c>
    </row>
    <row r="1033" spans="1:10">
      <c r="A1033" s="17"/>
      <c r="B1033" s="43"/>
      <c r="C1033" s="47"/>
      <c r="D1033" s="45" t="s">
        <v>170</v>
      </c>
      <c r="E1033" s="43"/>
      <c r="F1033" s="29"/>
      <c r="G1033" s="49"/>
      <c r="H1033" s="29"/>
      <c r="I1033" s="43"/>
      <c r="J1033" s="35">
        <f>SUM(J1032:J1032)</f>
        <v>1200</v>
      </c>
    </row>
    <row r="1034" spans="1:10">
      <c r="A1034" s="38"/>
      <c r="B1034" s="219"/>
      <c r="C1034" s="220"/>
      <c r="D1034" s="228" t="s">
        <v>637</v>
      </c>
      <c r="E1034" s="219"/>
      <c r="F1034" s="39"/>
      <c r="G1034" s="222"/>
      <c r="H1034" s="39"/>
      <c r="I1034" s="219"/>
      <c r="J1034" s="223"/>
    </row>
    <row r="1035" spans="1:10">
      <c r="A1035" s="17"/>
      <c r="B1035" s="43"/>
      <c r="C1035" s="47"/>
      <c r="D1035" s="203" t="s">
        <v>378</v>
      </c>
      <c r="E1035" s="43"/>
      <c r="F1035" s="29"/>
      <c r="G1035" s="49"/>
      <c r="H1035" s="29"/>
      <c r="I1035" s="43"/>
      <c r="J1035" s="35"/>
    </row>
    <row r="1036" spans="1:10" ht="89.25">
      <c r="A1036" s="17"/>
      <c r="B1036" s="43" t="s">
        <v>247</v>
      </c>
      <c r="C1036" s="60"/>
      <c r="D1036" s="13" t="s">
        <v>464</v>
      </c>
      <c r="E1036" s="13"/>
      <c r="F1036" s="13"/>
      <c r="G1036" s="13"/>
      <c r="H1036" s="13"/>
      <c r="I1036" s="13"/>
      <c r="J1036" s="16"/>
    </row>
    <row r="1037" spans="1:10">
      <c r="A1037" s="17"/>
      <c r="B1037" s="197"/>
      <c r="C1037" s="122"/>
      <c r="D1037" s="44" t="s">
        <v>18</v>
      </c>
      <c r="E1037" s="43"/>
      <c r="F1037" s="48"/>
      <c r="G1037" s="49"/>
      <c r="H1037" s="48"/>
      <c r="I1037" s="43"/>
      <c r="J1037" s="35"/>
    </row>
    <row r="1038" spans="1:10" ht="102">
      <c r="A1038" s="17"/>
      <c r="B1038" s="103" t="s">
        <v>465</v>
      </c>
      <c r="C1038" s="124">
        <v>1</v>
      </c>
      <c r="D1038" s="13" t="s">
        <v>466</v>
      </c>
      <c r="E1038" s="26">
        <v>1</v>
      </c>
      <c r="F1038" s="17" t="s">
        <v>29</v>
      </c>
      <c r="G1038" s="26">
        <v>1</v>
      </c>
      <c r="H1038" s="17" t="s">
        <v>29</v>
      </c>
      <c r="I1038" s="24">
        <v>7392</v>
      </c>
      <c r="J1038" s="35">
        <f>SUM(E1038*I1038/G1038)</f>
        <v>7392</v>
      </c>
    </row>
    <row r="1039" spans="1:10">
      <c r="A1039" s="17"/>
      <c r="B1039" s="103"/>
      <c r="C1039" s="124"/>
      <c r="D1039" s="13" t="s">
        <v>467</v>
      </c>
      <c r="E1039" s="26"/>
      <c r="F1039" s="17"/>
      <c r="G1039" s="26"/>
      <c r="H1039" s="17"/>
      <c r="I1039" s="24"/>
      <c r="J1039" s="35">
        <f>J1038*10.615%</f>
        <v>784.66080000000011</v>
      </c>
    </row>
    <row r="1040" spans="1:10">
      <c r="A1040" s="17"/>
      <c r="B1040" s="43"/>
      <c r="C1040" s="47"/>
      <c r="D1040" s="45" t="s">
        <v>170</v>
      </c>
      <c r="E1040" s="43"/>
      <c r="F1040" s="29"/>
      <c r="G1040" s="49"/>
      <c r="H1040" s="29"/>
      <c r="I1040" s="43"/>
      <c r="J1040" s="35">
        <f>SUM(J1038:J1039)</f>
        <v>8176.6607999999997</v>
      </c>
    </row>
    <row r="1041" spans="1:10">
      <c r="A1041" s="17"/>
      <c r="B1041" s="29"/>
      <c r="C1041" s="30"/>
      <c r="D1041" s="18" t="s">
        <v>38</v>
      </c>
      <c r="E1041" s="43"/>
      <c r="F1041" s="29"/>
      <c r="G1041" s="49"/>
      <c r="H1041" s="29"/>
      <c r="I1041" s="47"/>
      <c r="J1041" s="21">
        <f>ROUND(J1040,0)</f>
        <v>8177</v>
      </c>
    </row>
    <row r="1042" spans="1:10">
      <c r="A1042" s="38"/>
      <c r="B1042" s="219"/>
      <c r="C1042" s="220"/>
      <c r="D1042" s="228" t="s">
        <v>468</v>
      </c>
      <c r="E1042" s="219"/>
      <c r="F1042" s="39"/>
      <c r="G1042" s="222"/>
      <c r="H1042" s="39"/>
      <c r="I1042" s="219"/>
      <c r="J1042" s="223"/>
    </row>
    <row r="1043" spans="1:10">
      <c r="A1043" s="17"/>
      <c r="B1043" s="43"/>
      <c r="C1043" s="47"/>
      <c r="D1043" s="203" t="s">
        <v>378</v>
      </c>
      <c r="E1043" s="43"/>
      <c r="F1043" s="29"/>
      <c r="G1043" s="49"/>
      <c r="H1043" s="29"/>
      <c r="I1043" s="43"/>
      <c r="J1043" s="35"/>
    </row>
    <row r="1044" spans="1:10" ht="89.25">
      <c r="A1044" s="17"/>
      <c r="B1044" s="26" t="s">
        <v>88</v>
      </c>
      <c r="C1044" s="22"/>
      <c r="D1044" s="13" t="s">
        <v>469</v>
      </c>
      <c r="E1044" s="13"/>
      <c r="F1044" s="13"/>
      <c r="G1044" s="13"/>
      <c r="H1044" s="13"/>
      <c r="I1044" s="13"/>
      <c r="J1044" s="16"/>
    </row>
    <row r="1045" spans="1:10">
      <c r="A1045" s="17"/>
      <c r="B1045" s="26"/>
      <c r="C1045" s="22"/>
      <c r="D1045" s="18" t="s">
        <v>4</v>
      </c>
      <c r="E1045" s="24"/>
      <c r="F1045" s="17"/>
      <c r="G1045" s="26"/>
      <c r="H1045" s="17"/>
      <c r="I1045" s="20"/>
      <c r="J1045" s="21"/>
    </row>
    <row r="1046" spans="1:10">
      <c r="A1046" s="17"/>
      <c r="B1046" s="26"/>
      <c r="C1046" s="22">
        <v>1</v>
      </c>
      <c r="D1046" s="23" t="s">
        <v>9</v>
      </c>
      <c r="E1046" s="58">
        <v>3.3000000000000002E-2</v>
      </c>
      <c r="F1046" s="25" t="s">
        <v>10</v>
      </c>
      <c r="G1046" s="26">
        <v>1</v>
      </c>
      <c r="H1046" s="25" t="s">
        <v>10</v>
      </c>
      <c r="I1046" s="20">
        <v>775</v>
      </c>
      <c r="J1046" s="21">
        <f>SUM(E1046*I1046/G1046)</f>
        <v>25.575000000000003</v>
      </c>
    </row>
    <row r="1047" spans="1:10">
      <c r="A1047" s="17"/>
      <c r="B1047" s="26"/>
      <c r="C1047" s="22">
        <v>2</v>
      </c>
      <c r="D1047" s="27" t="s">
        <v>12</v>
      </c>
      <c r="E1047" s="58">
        <v>3.3000000000000002E-2</v>
      </c>
      <c r="F1047" s="25" t="s">
        <v>10</v>
      </c>
      <c r="G1047" s="26">
        <v>1</v>
      </c>
      <c r="H1047" s="25" t="s">
        <v>10</v>
      </c>
      <c r="I1047" s="20">
        <v>650</v>
      </c>
      <c r="J1047" s="21">
        <f>SUM(E1047*I1047/G1047)</f>
        <v>21.45</v>
      </c>
    </row>
    <row r="1048" spans="1:10">
      <c r="A1048" s="17"/>
      <c r="B1048" s="26"/>
      <c r="C1048" s="22"/>
      <c r="D1048" s="18" t="s">
        <v>90</v>
      </c>
      <c r="E1048" s="24"/>
      <c r="F1048" s="25"/>
      <c r="G1048" s="26"/>
      <c r="H1048" s="25"/>
      <c r="I1048" s="20"/>
      <c r="J1048" s="21">
        <f>SUM(J1046:J1047)</f>
        <v>47.025000000000006</v>
      </c>
    </row>
    <row r="1049" spans="1:10">
      <c r="A1049" s="17"/>
      <c r="B1049" s="26"/>
      <c r="C1049" s="22"/>
      <c r="D1049" s="13" t="s">
        <v>61</v>
      </c>
      <c r="E1049" s="31"/>
      <c r="F1049" s="17"/>
      <c r="G1049" s="26"/>
      <c r="H1049" s="17"/>
      <c r="I1049" s="20"/>
      <c r="J1049" s="21">
        <f>J1048*0.4</f>
        <v>18.810000000000002</v>
      </c>
    </row>
    <row r="1050" spans="1:10">
      <c r="A1050" s="17"/>
      <c r="B1050" s="26"/>
      <c r="C1050" s="22"/>
      <c r="D1050" s="13" t="s">
        <v>17</v>
      </c>
      <c r="E1050" s="31"/>
      <c r="F1050" s="17"/>
      <c r="G1050" s="26"/>
      <c r="H1050" s="17"/>
      <c r="I1050" s="20"/>
      <c r="J1050" s="21">
        <f>SUM(J1048:J1049)</f>
        <v>65.835000000000008</v>
      </c>
    </row>
    <row r="1051" spans="1:10">
      <c r="A1051" s="17"/>
      <c r="B1051" s="26"/>
      <c r="C1051" s="22"/>
      <c r="D1051" s="18" t="s">
        <v>18</v>
      </c>
      <c r="E1051" s="24"/>
      <c r="F1051" s="25"/>
      <c r="G1051" s="26"/>
      <c r="H1051" s="25"/>
      <c r="I1051" s="20"/>
      <c r="J1051" s="21"/>
    </row>
    <row r="1052" spans="1:10" ht="22.5">
      <c r="A1052" s="17"/>
      <c r="B1052" s="125" t="s">
        <v>403</v>
      </c>
      <c r="C1052" s="22">
        <v>3</v>
      </c>
      <c r="D1052" s="59" t="s">
        <v>470</v>
      </c>
      <c r="E1052" s="26">
        <v>1</v>
      </c>
      <c r="F1052" s="17" t="s">
        <v>24</v>
      </c>
      <c r="G1052" s="26">
        <v>1</v>
      </c>
      <c r="H1052" s="17" t="s">
        <v>29</v>
      </c>
      <c r="I1052" s="20">
        <v>84</v>
      </c>
      <c r="J1052" s="21">
        <f>SUM(E1052*I1052/G1052)</f>
        <v>84</v>
      </c>
    </row>
    <row r="1053" spans="1:10" ht="22.5">
      <c r="A1053" s="17"/>
      <c r="B1053" s="125" t="s">
        <v>396</v>
      </c>
      <c r="C1053" s="22">
        <v>4</v>
      </c>
      <c r="D1053" s="59" t="s">
        <v>471</v>
      </c>
      <c r="E1053" s="26"/>
      <c r="F1053" s="17"/>
      <c r="G1053" s="26"/>
      <c r="H1053" s="17"/>
      <c r="I1053" s="20"/>
      <c r="J1053" s="21"/>
    </row>
    <row r="1054" spans="1:10" ht="51">
      <c r="A1054" s="17"/>
      <c r="B1054" s="26"/>
      <c r="C1054" s="22"/>
      <c r="D1054" s="16" t="s">
        <v>472</v>
      </c>
      <c r="E1054" s="26">
        <v>1</v>
      </c>
      <c r="F1054" s="17" t="s">
        <v>24</v>
      </c>
      <c r="G1054" s="26">
        <v>1</v>
      </c>
      <c r="H1054" s="17" t="s">
        <v>29</v>
      </c>
      <c r="I1054" s="47">
        <v>75</v>
      </c>
      <c r="J1054" s="21">
        <f>SUM(E1054*I1054/G1054)</f>
        <v>75</v>
      </c>
    </row>
    <row r="1055" spans="1:10" ht="63.75">
      <c r="A1055" s="17"/>
      <c r="B1055" s="125" t="s">
        <v>473</v>
      </c>
      <c r="C1055" s="22">
        <v>5</v>
      </c>
      <c r="D1055" s="59" t="s">
        <v>474</v>
      </c>
      <c r="E1055" s="26">
        <v>1</v>
      </c>
      <c r="F1055" s="17" t="s">
        <v>24</v>
      </c>
      <c r="G1055" s="26">
        <v>1</v>
      </c>
      <c r="H1055" s="17" t="s">
        <v>29</v>
      </c>
      <c r="I1055" s="47">
        <v>95</v>
      </c>
      <c r="J1055" s="21">
        <f>SUM(E1055*I1055/G1055)</f>
        <v>95</v>
      </c>
    </row>
    <row r="1056" spans="1:10">
      <c r="A1056" s="17"/>
      <c r="B1056" s="26"/>
      <c r="C1056" s="22"/>
      <c r="D1056" s="57" t="s">
        <v>95</v>
      </c>
      <c r="E1056" s="26"/>
      <c r="F1056" s="17"/>
      <c r="G1056" s="26"/>
      <c r="H1056" s="17"/>
      <c r="I1056" s="20"/>
      <c r="J1056" s="21">
        <f>SUM(J1052:J1055)</f>
        <v>254</v>
      </c>
    </row>
    <row r="1057" spans="1:10">
      <c r="A1057" s="17"/>
      <c r="B1057" s="26"/>
      <c r="C1057" s="22"/>
      <c r="D1057" s="57" t="s">
        <v>96</v>
      </c>
      <c r="E1057" s="24"/>
      <c r="F1057" s="17"/>
      <c r="G1057" s="26"/>
      <c r="H1057" s="17"/>
      <c r="I1057" s="20"/>
      <c r="J1057" s="21">
        <f>J1056+J1050</f>
        <v>319.83500000000004</v>
      </c>
    </row>
    <row r="1058" spans="1:10">
      <c r="A1058" s="17"/>
      <c r="B1058" s="103"/>
      <c r="C1058" s="124"/>
      <c r="D1058" s="13" t="s">
        <v>467</v>
      </c>
      <c r="E1058" s="26"/>
      <c r="F1058" s="17"/>
      <c r="G1058" s="26"/>
      <c r="H1058" s="17"/>
      <c r="I1058" s="24"/>
      <c r="J1058" s="35">
        <f>J1057*10.615%</f>
        <v>33.950485250000007</v>
      </c>
    </row>
    <row r="1059" spans="1:10">
      <c r="A1059" s="17"/>
      <c r="B1059" s="43"/>
      <c r="C1059" s="47"/>
      <c r="D1059" s="45" t="s">
        <v>170</v>
      </c>
      <c r="E1059" s="43"/>
      <c r="F1059" s="29"/>
      <c r="G1059" s="49"/>
      <c r="H1059" s="29"/>
      <c r="I1059" s="43"/>
      <c r="J1059" s="35">
        <f>SUM(J1057:J1058)</f>
        <v>353.78548525000002</v>
      </c>
    </row>
    <row r="1060" spans="1:10">
      <c r="A1060" s="17"/>
      <c r="B1060" s="29"/>
      <c r="C1060" s="30"/>
      <c r="D1060" s="18" t="s">
        <v>38</v>
      </c>
      <c r="E1060" s="43"/>
      <c r="F1060" s="29"/>
      <c r="G1060" s="49"/>
      <c r="H1060" s="29"/>
      <c r="I1060" s="47"/>
      <c r="J1060" s="21">
        <f>ROUND(J1059,0)</f>
        <v>354</v>
      </c>
    </row>
    <row r="1061" spans="1:10">
      <c r="A1061" s="229"/>
      <c r="B1061" s="230"/>
      <c r="C1061" s="229"/>
      <c r="D1061" s="231" t="s">
        <v>630</v>
      </c>
      <c r="E1061" s="229"/>
      <c r="F1061" s="229"/>
      <c r="G1061" s="229"/>
      <c r="H1061" s="229"/>
      <c r="I1061" s="232"/>
      <c r="J1061" s="233"/>
    </row>
    <row r="1062" spans="1:10">
      <c r="A1062" s="234"/>
      <c r="B1062" s="197"/>
      <c r="C1062" s="204"/>
      <c r="D1062" s="203" t="s">
        <v>378</v>
      </c>
      <c r="E1062" s="234"/>
      <c r="F1062" s="234"/>
      <c r="G1062" s="234"/>
      <c r="H1062" s="234"/>
      <c r="I1062" s="235"/>
      <c r="J1062" s="236"/>
    </row>
    <row r="1063" spans="1:10" ht="51.75">
      <c r="A1063" s="197"/>
      <c r="B1063" s="197"/>
      <c r="C1063" s="204"/>
      <c r="D1063" s="197" t="s">
        <v>476</v>
      </c>
      <c r="E1063" s="197"/>
      <c r="F1063" s="197"/>
      <c r="G1063" s="197"/>
      <c r="H1063" s="197"/>
      <c r="I1063" s="197"/>
      <c r="J1063" s="197"/>
    </row>
    <row r="1064" spans="1:10" ht="51">
      <c r="A1064" s="237"/>
      <c r="B1064" s="238" t="s">
        <v>477</v>
      </c>
      <c r="C1064" s="237">
        <v>1</v>
      </c>
      <c r="D1064" s="106" t="s">
        <v>476</v>
      </c>
      <c r="E1064" s="237">
        <v>1</v>
      </c>
      <c r="F1064" s="237" t="s">
        <v>222</v>
      </c>
      <c r="G1064" s="237">
        <v>1</v>
      </c>
      <c r="H1064" s="237" t="s">
        <v>222</v>
      </c>
      <c r="I1064" s="239">
        <v>67795</v>
      </c>
      <c r="J1064" s="239">
        <f>I1064</f>
        <v>67795</v>
      </c>
    </row>
    <row r="1065" spans="1:10">
      <c r="A1065" s="237"/>
      <c r="B1065" s="238"/>
      <c r="C1065" s="237"/>
      <c r="D1065" s="106" t="s">
        <v>36</v>
      </c>
      <c r="E1065" s="237"/>
      <c r="F1065" s="237"/>
      <c r="G1065" s="237"/>
      <c r="H1065" s="237"/>
      <c r="I1065" s="239"/>
      <c r="J1065" s="240">
        <f>J1064*10.615%</f>
        <v>7196.4392500000004</v>
      </c>
    </row>
    <row r="1066" spans="1:10">
      <c r="A1066" s="237"/>
      <c r="B1066" s="238"/>
      <c r="C1066" s="237"/>
      <c r="D1066" s="106" t="s">
        <v>478</v>
      </c>
      <c r="E1066" s="237"/>
      <c r="F1066" s="237"/>
      <c r="G1066" s="237"/>
      <c r="H1066" s="237"/>
      <c r="I1066" s="239"/>
      <c r="J1066" s="240">
        <f>SUM(J1064:J1065)</f>
        <v>74991.439249999996</v>
      </c>
    </row>
    <row r="1067" spans="1:10">
      <c r="A1067" s="17"/>
      <c r="B1067" s="26"/>
      <c r="C1067" s="22"/>
      <c r="D1067" s="18" t="s">
        <v>38</v>
      </c>
      <c r="E1067" s="29"/>
      <c r="F1067" s="29"/>
      <c r="G1067" s="29"/>
      <c r="H1067" s="29"/>
      <c r="I1067" s="30"/>
      <c r="J1067" s="21">
        <f>ROUND(J1066,0)</f>
        <v>74991</v>
      </c>
    </row>
    <row r="1068" spans="1:10">
      <c r="A1068" s="38"/>
      <c r="B1068" s="39"/>
      <c r="C1068" s="40"/>
      <c r="D1068" s="241" t="s">
        <v>479</v>
      </c>
      <c r="E1068" s="41"/>
      <c r="F1068" s="41"/>
      <c r="G1068" s="41"/>
      <c r="H1068" s="41"/>
      <c r="I1068" s="242"/>
      <c r="J1068" s="243"/>
    </row>
    <row r="1069" spans="1:10">
      <c r="A1069" s="17"/>
      <c r="B1069" s="26"/>
      <c r="C1069" s="22"/>
      <c r="D1069" s="203" t="s">
        <v>378</v>
      </c>
      <c r="E1069" s="31"/>
      <c r="F1069" s="31"/>
      <c r="G1069" s="31"/>
      <c r="H1069" s="31"/>
      <c r="I1069" s="20"/>
      <c r="J1069" s="35"/>
    </row>
    <row r="1070" spans="1:10" ht="25.5">
      <c r="A1070" s="31"/>
      <c r="B1070" s="26"/>
      <c r="C1070" s="15"/>
      <c r="D1070" s="44" t="s">
        <v>480</v>
      </c>
      <c r="E1070" s="44"/>
      <c r="F1070" s="44"/>
      <c r="G1070" s="44"/>
      <c r="H1070" s="44"/>
      <c r="I1070" s="44"/>
      <c r="J1070" s="16"/>
    </row>
    <row r="1071" spans="1:10" ht="25.5">
      <c r="A1071" s="31"/>
      <c r="B1071" s="238" t="s">
        <v>481</v>
      </c>
      <c r="C1071" s="30">
        <v>3</v>
      </c>
      <c r="D1071" s="44" t="s">
        <v>480</v>
      </c>
      <c r="E1071" s="30">
        <v>1</v>
      </c>
      <c r="F1071" s="30" t="s">
        <v>24</v>
      </c>
      <c r="G1071" s="30">
        <v>1</v>
      </c>
      <c r="H1071" s="30" t="s">
        <v>29</v>
      </c>
      <c r="I1071" s="47">
        <v>4301</v>
      </c>
      <c r="J1071" s="35">
        <f>SUM(E1071*I1071/G1071)</f>
        <v>4301</v>
      </c>
    </row>
    <row r="1072" spans="1:10">
      <c r="A1072" s="31"/>
      <c r="B1072" s="17"/>
      <c r="C1072" s="31"/>
      <c r="D1072" s="45" t="s">
        <v>141</v>
      </c>
      <c r="E1072" s="43"/>
      <c r="F1072" s="48"/>
      <c r="G1072" s="49"/>
      <c r="H1072" s="48"/>
      <c r="I1072" s="47"/>
      <c r="J1072" s="35">
        <f>SUM(J1071:J1071)</f>
        <v>4301</v>
      </c>
    </row>
    <row r="1073" spans="1:10">
      <c r="A1073" s="17"/>
      <c r="B1073" s="29"/>
      <c r="C1073" s="30"/>
      <c r="D1073" s="18" t="s">
        <v>36</v>
      </c>
      <c r="E1073" s="24"/>
      <c r="F1073" s="25"/>
      <c r="G1073" s="26"/>
      <c r="H1073" s="25"/>
      <c r="I1073" s="20"/>
      <c r="J1073" s="35">
        <f>J1072*10.615%</f>
        <v>456.55115000000006</v>
      </c>
    </row>
    <row r="1074" spans="1:10">
      <c r="A1074" s="17"/>
      <c r="B1074" s="29"/>
      <c r="C1074" s="30"/>
      <c r="D1074" s="18" t="s">
        <v>37</v>
      </c>
      <c r="E1074" s="24"/>
      <c r="F1074" s="25"/>
      <c r="G1074" s="26"/>
      <c r="H1074" s="25"/>
      <c r="I1074" s="20"/>
      <c r="J1074" s="35">
        <f>SUM(J1072:J1073)</f>
        <v>4757.5511500000002</v>
      </c>
    </row>
    <row r="1075" spans="1:10">
      <c r="A1075" s="17"/>
      <c r="B1075" s="29"/>
      <c r="C1075" s="30"/>
      <c r="D1075" s="18" t="s">
        <v>38</v>
      </c>
      <c r="E1075" s="24"/>
      <c r="F1075" s="25"/>
      <c r="G1075" s="26"/>
      <c r="H1075" s="25"/>
      <c r="I1075" s="20"/>
      <c r="J1075" s="244">
        <f>ROUND(J1074,0)</f>
        <v>4758</v>
      </c>
    </row>
    <row r="1076" spans="1:10">
      <c r="A1076" s="38"/>
      <c r="B1076" s="39"/>
      <c r="C1076" s="40"/>
      <c r="D1076" s="241" t="s">
        <v>482</v>
      </c>
      <c r="E1076" s="41"/>
      <c r="F1076" s="41"/>
      <c r="G1076" s="41"/>
      <c r="H1076" s="41"/>
      <c r="I1076" s="245"/>
      <c r="J1076" s="246"/>
    </row>
    <row r="1077" spans="1:10">
      <c r="A1077" s="17"/>
      <c r="B1077" s="26"/>
      <c r="C1077" s="22"/>
      <c r="D1077" s="203" t="s">
        <v>378</v>
      </c>
      <c r="E1077" s="31"/>
      <c r="F1077" s="31"/>
      <c r="G1077" s="31"/>
      <c r="H1077" s="31"/>
      <c r="I1077" s="247"/>
      <c r="J1077" s="248"/>
    </row>
    <row r="1078" spans="1:10">
      <c r="A1078" s="31"/>
      <c r="B1078" s="26"/>
      <c r="C1078" s="15"/>
      <c r="D1078" s="44" t="s">
        <v>483</v>
      </c>
      <c r="E1078" s="44"/>
      <c r="F1078" s="44"/>
      <c r="G1078" s="44"/>
      <c r="H1078" s="44"/>
      <c r="I1078" s="44"/>
      <c r="J1078" s="16"/>
    </row>
    <row r="1079" spans="1:10" ht="25.5">
      <c r="A1079" s="31"/>
      <c r="B1079" s="238" t="s">
        <v>484</v>
      </c>
      <c r="C1079" s="30">
        <v>3</v>
      </c>
      <c r="D1079" s="44" t="s">
        <v>483</v>
      </c>
      <c r="E1079" s="30">
        <v>1</v>
      </c>
      <c r="F1079" s="30" t="s">
        <v>24</v>
      </c>
      <c r="G1079" s="30">
        <v>1</v>
      </c>
      <c r="H1079" s="30" t="s">
        <v>29</v>
      </c>
      <c r="I1079" s="47">
        <v>5060</v>
      </c>
      <c r="J1079" s="35">
        <f>SUM(E1079*I1079/G1079)</f>
        <v>5060</v>
      </c>
    </row>
    <row r="1080" spans="1:10">
      <c r="A1080" s="31"/>
      <c r="B1080" s="17"/>
      <c r="C1080" s="31"/>
      <c r="D1080" s="45" t="s">
        <v>141</v>
      </c>
      <c r="E1080" s="43"/>
      <c r="F1080" s="48"/>
      <c r="G1080" s="49"/>
      <c r="H1080" s="48"/>
      <c r="I1080" s="249"/>
      <c r="J1080" s="35">
        <f>SUM(J1079:J1079)</f>
        <v>5060</v>
      </c>
    </row>
    <row r="1081" spans="1:10">
      <c r="A1081" s="17"/>
      <c r="B1081" s="29"/>
      <c r="C1081" s="30"/>
      <c r="D1081" s="18" t="s">
        <v>36</v>
      </c>
      <c r="E1081" s="24"/>
      <c r="F1081" s="25"/>
      <c r="G1081" s="26"/>
      <c r="H1081" s="25"/>
      <c r="I1081" s="247"/>
      <c r="J1081" s="35">
        <f>J1080*10.615%</f>
        <v>537.11900000000003</v>
      </c>
    </row>
    <row r="1082" spans="1:10">
      <c r="A1082" s="17"/>
      <c r="B1082" s="29"/>
      <c r="C1082" s="30"/>
      <c r="D1082" s="18" t="s">
        <v>37</v>
      </c>
      <c r="E1082" s="24"/>
      <c r="F1082" s="25"/>
      <c r="G1082" s="26"/>
      <c r="H1082" s="25"/>
      <c r="I1082" s="247"/>
      <c r="J1082" s="35">
        <f>SUM(J1080:J1081)</f>
        <v>5597.1189999999997</v>
      </c>
    </row>
    <row r="1083" spans="1:10">
      <c r="A1083" s="17"/>
      <c r="B1083" s="29"/>
      <c r="C1083" s="30"/>
      <c r="D1083" s="18" t="s">
        <v>38</v>
      </c>
      <c r="E1083" s="24"/>
      <c r="F1083" s="25"/>
      <c r="G1083" s="26"/>
      <c r="H1083" s="25"/>
      <c r="I1083" s="247"/>
      <c r="J1083" s="244">
        <f>ROUND(J1082,0)</f>
        <v>5597</v>
      </c>
    </row>
    <row r="1084" spans="1:10">
      <c r="A1084" s="229"/>
      <c r="B1084" s="230"/>
      <c r="C1084" s="229"/>
      <c r="D1084" s="231" t="s">
        <v>485</v>
      </c>
      <c r="E1084" s="229"/>
      <c r="F1084" s="229"/>
      <c r="G1084" s="229"/>
      <c r="H1084" s="229"/>
      <c r="I1084" s="232"/>
      <c r="J1084" s="233"/>
    </row>
    <row r="1085" spans="1:10">
      <c r="A1085" s="250"/>
      <c r="B1085" s="121"/>
      <c r="C1085" s="250"/>
      <c r="D1085" s="203" t="s">
        <v>378</v>
      </c>
      <c r="E1085" s="250"/>
      <c r="F1085" s="250"/>
      <c r="G1085" s="250"/>
      <c r="H1085" s="250"/>
      <c r="I1085" s="251"/>
      <c r="J1085" s="252"/>
    </row>
    <row r="1086" spans="1:10" ht="127.5">
      <c r="A1086" s="34"/>
      <c r="B1086" s="63" t="s">
        <v>486</v>
      </c>
      <c r="C1086" s="250"/>
      <c r="D1086" s="253" t="s">
        <v>487</v>
      </c>
      <c r="E1086" s="34">
        <v>1</v>
      </c>
      <c r="F1086" s="34" t="s">
        <v>24</v>
      </c>
      <c r="G1086" s="34">
        <v>1</v>
      </c>
      <c r="H1086" s="34" t="s">
        <v>29</v>
      </c>
      <c r="I1086" s="21">
        <v>613180</v>
      </c>
      <c r="J1086" s="35">
        <f>SUM(E1086*I1086/G1086)</f>
        <v>613180</v>
      </c>
    </row>
    <row r="1087" spans="1:10" ht="76.5">
      <c r="A1087" s="250"/>
      <c r="B1087" s="121"/>
      <c r="C1087" s="250"/>
      <c r="D1087" s="253" t="s">
        <v>488</v>
      </c>
      <c r="E1087" s="250"/>
      <c r="F1087" s="250"/>
      <c r="G1087" s="250"/>
      <c r="H1087" s="250"/>
      <c r="I1087" s="251"/>
      <c r="J1087" s="252"/>
    </row>
    <row r="1088" spans="1:10" ht="178.5">
      <c r="A1088" s="250"/>
      <c r="B1088" s="121"/>
      <c r="C1088" s="250"/>
      <c r="D1088" s="253" t="s">
        <v>489</v>
      </c>
      <c r="E1088" s="250"/>
      <c r="F1088" s="250"/>
      <c r="G1088" s="250"/>
      <c r="H1088" s="250"/>
      <c r="I1088" s="251"/>
      <c r="J1088" s="252"/>
    </row>
    <row r="1089" spans="1:10" ht="38.25">
      <c r="A1089" s="250"/>
      <c r="B1089" s="121"/>
      <c r="C1089" s="250"/>
      <c r="D1089" s="253" t="s">
        <v>490</v>
      </c>
      <c r="E1089" s="250"/>
      <c r="F1089" s="250"/>
      <c r="G1089" s="250"/>
      <c r="H1089" s="250"/>
      <c r="I1089" s="251"/>
      <c r="J1089" s="252"/>
    </row>
    <row r="1090" spans="1:10">
      <c r="A1090" s="31"/>
      <c r="B1090" s="17"/>
      <c r="C1090" s="31"/>
      <c r="D1090" s="45" t="s">
        <v>141</v>
      </c>
      <c r="E1090" s="43"/>
      <c r="F1090" s="48"/>
      <c r="G1090" s="49"/>
      <c r="H1090" s="48"/>
      <c r="I1090" s="249"/>
      <c r="J1090" s="35">
        <f>J1086</f>
        <v>613180</v>
      </c>
    </row>
    <row r="1091" spans="1:10">
      <c r="A1091" s="17"/>
      <c r="B1091" s="29"/>
      <c r="C1091" s="30"/>
      <c r="D1091" s="18" t="s">
        <v>36</v>
      </c>
      <c r="E1091" s="24"/>
      <c r="F1091" s="25"/>
      <c r="G1091" s="26"/>
      <c r="H1091" s="25"/>
      <c r="I1091" s="247"/>
      <c r="J1091" s="35">
        <f>J1090*10.615%</f>
        <v>65089.057000000008</v>
      </c>
    </row>
    <row r="1092" spans="1:10">
      <c r="A1092" s="17"/>
      <c r="B1092" s="29"/>
      <c r="C1092" s="30"/>
      <c r="D1092" s="18" t="s">
        <v>37</v>
      </c>
      <c r="E1092" s="24"/>
      <c r="F1092" s="25"/>
      <c r="G1092" s="26"/>
      <c r="H1092" s="25"/>
      <c r="I1092" s="247"/>
      <c r="J1092" s="35">
        <f>SUM(J1090:J1091)</f>
        <v>678269.05700000003</v>
      </c>
    </row>
    <row r="1093" spans="1:10">
      <c r="A1093" s="17"/>
      <c r="B1093" s="29"/>
      <c r="C1093" s="30"/>
      <c r="D1093" s="18" t="s">
        <v>38</v>
      </c>
      <c r="E1093" s="24"/>
      <c r="F1093" s="25"/>
      <c r="G1093" s="26"/>
      <c r="H1093" s="25"/>
      <c r="I1093" s="247"/>
      <c r="J1093" s="244">
        <f>ROUND(J1092,0)</f>
        <v>678269</v>
      </c>
    </row>
    <row r="1094" spans="1:10">
      <c r="A1094" s="229"/>
      <c r="B1094" s="230"/>
      <c r="C1094" s="229"/>
      <c r="D1094" s="231" t="s">
        <v>491</v>
      </c>
      <c r="E1094" s="229"/>
      <c r="F1094" s="229"/>
      <c r="G1094" s="229"/>
      <c r="H1094" s="229"/>
      <c r="I1094" s="232"/>
      <c r="J1094" s="233"/>
    </row>
    <row r="1095" spans="1:10">
      <c r="A1095" s="250"/>
      <c r="B1095" s="121"/>
      <c r="C1095" s="250"/>
      <c r="D1095" s="203" t="s">
        <v>378</v>
      </c>
      <c r="E1095" s="250"/>
      <c r="F1095" s="250"/>
      <c r="G1095" s="250"/>
      <c r="H1095" s="250"/>
      <c r="I1095" s="251"/>
      <c r="J1095" s="252"/>
    </row>
    <row r="1096" spans="1:10" ht="39">
      <c r="A1096" s="250"/>
      <c r="B1096" s="121"/>
      <c r="C1096" s="250"/>
      <c r="D1096" s="197" t="s">
        <v>492</v>
      </c>
      <c r="E1096" s="197"/>
      <c r="F1096" s="197"/>
      <c r="G1096" s="197"/>
      <c r="H1096" s="197"/>
      <c r="I1096" s="197"/>
      <c r="J1096" s="197"/>
    </row>
    <row r="1097" spans="1:10">
      <c r="A1097" s="250"/>
      <c r="B1097" s="121"/>
      <c r="C1097" s="250"/>
      <c r="D1097" s="254" t="s">
        <v>493</v>
      </c>
      <c r="E1097" s="250"/>
      <c r="F1097" s="250"/>
      <c r="G1097" s="250"/>
      <c r="H1097" s="250"/>
      <c r="I1097" s="251"/>
      <c r="J1097" s="252"/>
    </row>
    <row r="1098" spans="1:10" ht="25.5">
      <c r="A1098" s="34"/>
      <c r="B1098" s="63" t="s">
        <v>494</v>
      </c>
      <c r="C1098" s="250"/>
      <c r="D1098" s="253" t="s">
        <v>495</v>
      </c>
      <c r="E1098" s="34">
        <v>1</v>
      </c>
      <c r="F1098" s="34" t="s">
        <v>24</v>
      </c>
      <c r="G1098" s="34">
        <v>1</v>
      </c>
      <c r="H1098" s="34" t="s">
        <v>29</v>
      </c>
      <c r="I1098" s="21">
        <v>11850</v>
      </c>
      <c r="J1098" s="35">
        <f>SUM(E1098*I1098/G1098)</f>
        <v>11850</v>
      </c>
    </row>
    <row r="1099" spans="1:10">
      <c r="A1099" s="31"/>
      <c r="B1099" s="183"/>
      <c r="C1099" s="22"/>
      <c r="D1099" s="255" t="s">
        <v>496</v>
      </c>
      <c r="E1099" s="49"/>
      <c r="F1099" s="29"/>
      <c r="G1099" s="49"/>
      <c r="H1099" s="29"/>
      <c r="I1099" s="47"/>
      <c r="J1099" s="256"/>
    </row>
    <row r="1100" spans="1:10" ht="30">
      <c r="A1100" s="31"/>
      <c r="B1100" s="183" t="s">
        <v>497</v>
      </c>
      <c r="C1100" s="22"/>
      <c r="D1100" s="18" t="s">
        <v>498</v>
      </c>
      <c r="E1100" s="31">
        <v>3</v>
      </c>
      <c r="F1100" s="29" t="s">
        <v>24</v>
      </c>
      <c r="G1100" s="49">
        <v>1</v>
      </c>
      <c r="H1100" s="29" t="s">
        <v>29</v>
      </c>
      <c r="I1100" s="20">
        <v>165</v>
      </c>
      <c r="J1100" s="256">
        <f>SUM(E1100*I1100/G1100)</f>
        <v>495</v>
      </c>
    </row>
    <row r="1101" spans="1:10" ht="38.25">
      <c r="A1101" s="257"/>
      <c r="B1101" s="258" t="s">
        <v>499</v>
      </c>
      <c r="C1101" s="259"/>
      <c r="D1101" s="260" t="s">
        <v>500</v>
      </c>
      <c r="E1101" s="257">
        <v>1</v>
      </c>
      <c r="F1101" s="261" t="s">
        <v>24</v>
      </c>
      <c r="G1101" s="262">
        <v>1</v>
      </c>
      <c r="H1101" s="261" t="s">
        <v>29</v>
      </c>
      <c r="I1101" s="263">
        <v>2425</v>
      </c>
      <c r="J1101" s="264">
        <f t="shared" ref="J1101:J1104" si="7">I1101*E1101</f>
        <v>2425</v>
      </c>
    </row>
    <row r="1102" spans="1:10" ht="38.25">
      <c r="A1102" s="257"/>
      <c r="B1102" s="258" t="s">
        <v>501</v>
      </c>
      <c r="C1102" s="259"/>
      <c r="D1102" s="260" t="s">
        <v>502</v>
      </c>
      <c r="E1102" s="257">
        <v>1</v>
      </c>
      <c r="F1102" s="261" t="s">
        <v>24</v>
      </c>
      <c r="G1102" s="262">
        <v>1</v>
      </c>
      <c r="H1102" s="261" t="s">
        <v>29</v>
      </c>
      <c r="I1102" s="263">
        <v>2425</v>
      </c>
      <c r="J1102" s="264">
        <f t="shared" si="7"/>
        <v>2425</v>
      </c>
    </row>
    <row r="1103" spans="1:10" ht="51.75">
      <c r="A1103" s="257"/>
      <c r="B1103" s="258" t="s">
        <v>503</v>
      </c>
      <c r="C1103" s="259"/>
      <c r="D1103" s="265" t="s">
        <v>504</v>
      </c>
      <c r="E1103" s="257">
        <v>2</v>
      </c>
      <c r="F1103" s="261" t="s">
        <v>24</v>
      </c>
      <c r="G1103" s="262">
        <v>1</v>
      </c>
      <c r="H1103" s="261" t="s">
        <v>29</v>
      </c>
      <c r="I1103" s="263">
        <v>215</v>
      </c>
      <c r="J1103" s="264">
        <f t="shared" si="7"/>
        <v>430</v>
      </c>
    </row>
    <row r="1104" spans="1:10" ht="38.25">
      <c r="A1104" s="257"/>
      <c r="B1104" s="258" t="s">
        <v>505</v>
      </c>
      <c r="C1104" s="259"/>
      <c r="D1104" s="260" t="s">
        <v>506</v>
      </c>
      <c r="E1104" s="257">
        <v>3</v>
      </c>
      <c r="F1104" s="261" t="s">
        <v>24</v>
      </c>
      <c r="G1104" s="262">
        <v>1</v>
      </c>
      <c r="H1104" s="261" t="s">
        <v>29</v>
      </c>
      <c r="I1104" s="263">
        <v>530</v>
      </c>
      <c r="J1104" s="264">
        <f t="shared" si="7"/>
        <v>1590</v>
      </c>
    </row>
    <row r="1105" spans="1:10">
      <c r="A1105" s="31"/>
      <c r="B1105" s="26"/>
      <c r="C1105" s="22"/>
      <c r="D1105" s="266" t="s">
        <v>507</v>
      </c>
      <c r="E1105" s="49"/>
      <c r="F1105" s="29"/>
      <c r="G1105" s="49"/>
      <c r="H1105" s="29"/>
      <c r="I1105" s="47"/>
      <c r="J1105" s="256">
        <f>SUM(J1098:J1104)</f>
        <v>19215</v>
      </c>
    </row>
    <row r="1106" spans="1:10" ht="38.25">
      <c r="A1106" s="267"/>
      <c r="B1106" s="268"/>
      <c r="C1106" s="269"/>
      <c r="D1106" s="268" t="s">
        <v>508</v>
      </c>
      <c r="E1106" s="270"/>
      <c r="F1106" s="271"/>
      <c r="G1106" s="270"/>
      <c r="H1106" s="272"/>
      <c r="I1106" s="273">
        <f>J1105*35%</f>
        <v>6725.25</v>
      </c>
      <c r="J1106" s="274">
        <f>J1105*0.35</f>
        <v>6725.25</v>
      </c>
    </row>
    <row r="1107" spans="1:10">
      <c r="A1107" s="267"/>
      <c r="B1107" s="268"/>
      <c r="C1107" s="269"/>
      <c r="D1107" s="268" t="s">
        <v>509</v>
      </c>
      <c r="E1107" s="270"/>
      <c r="F1107" s="271"/>
      <c r="G1107" s="270"/>
      <c r="H1107" s="272"/>
      <c r="I1107" s="275"/>
      <c r="J1107" s="276">
        <f>J1106+J1105</f>
        <v>25940.25</v>
      </c>
    </row>
    <row r="1108" spans="1:10">
      <c r="A1108" s="17"/>
      <c r="B1108" s="29"/>
      <c r="C1108" s="30"/>
      <c r="D1108" s="18" t="s">
        <v>510</v>
      </c>
      <c r="E1108" s="24"/>
      <c r="F1108" s="25"/>
      <c r="G1108" s="26"/>
      <c r="H1108" s="25"/>
      <c r="I1108" s="20"/>
      <c r="J1108" s="277">
        <f>J1107*0.10615</f>
        <v>2753.5575374999999</v>
      </c>
    </row>
    <row r="1109" spans="1:10">
      <c r="A1109" s="17"/>
      <c r="B1109" s="29"/>
      <c r="C1109" s="30"/>
      <c r="D1109" s="18" t="s">
        <v>37</v>
      </c>
      <c r="E1109" s="24"/>
      <c r="F1109" s="25"/>
      <c r="G1109" s="26"/>
      <c r="H1109" s="25"/>
      <c r="I1109" s="20"/>
      <c r="J1109" s="277">
        <f>SUM(J1107:J1108)</f>
        <v>28693.807537500001</v>
      </c>
    </row>
    <row r="1110" spans="1:10">
      <c r="A1110" s="17"/>
      <c r="B1110" s="29"/>
      <c r="C1110" s="30"/>
      <c r="D1110" s="18" t="s">
        <v>38</v>
      </c>
      <c r="E1110" s="24"/>
      <c r="F1110" s="25"/>
      <c r="G1110" s="26"/>
      <c r="H1110" s="25"/>
      <c r="I1110" s="20"/>
      <c r="J1110" s="278">
        <f>ROUND(J1109,0)</f>
        <v>28694</v>
      </c>
    </row>
    <row r="1111" spans="1:10">
      <c r="A1111" s="279"/>
      <c r="B1111" s="280"/>
      <c r="C1111" s="281"/>
      <c r="D1111" s="282" t="s">
        <v>511</v>
      </c>
      <c r="E1111" s="283"/>
      <c r="F1111" s="283"/>
      <c r="G1111" s="283"/>
      <c r="H1111" s="283"/>
      <c r="I1111" s="283"/>
      <c r="J1111" s="284"/>
    </row>
    <row r="1112" spans="1:10">
      <c r="A1112" s="285"/>
      <c r="B1112" s="286"/>
      <c r="C1112" s="287"/>
      <c r="D1112" s="203" t="s">
        <v>378</v>
      </c>
      <c r="E1112" s="286"/>
      <c r="F1112" s="286"/>
      <c r="G1112" s="286"/>
      <c r="H1112" s="286"/>
      <c r="I1112" s="287"/>
      <c r="J1112" s="288"/>
    </row>
    <row r="1113" spans="1:10" ht="51">
      <c r="A1113" s="285"/>
      <c r="B1113" s="382" t="s">
        <v>188</v>
      </c>
      <c r="C1113" s="289"/>
      <c r="D1113" s="290" t="s">
        <v>189</v>
      </c>
      <c r="E1113" s="290"/>
      <c r="F1113" s="290"/>
      <c r="G1113" s="290"/>
      <c r="H1113" s="290"/>
      <c r="I1113" s="290"/>
      <c r="J1113" s="291"/>
    </row>
    <row r="1114" spans="1:10">
      <c r="A1114" s="285"/>
      <c r="B1114" s="382"/>
      <c r="C1114" s="289"/>
      <c r="D1114" s="289" t="s">
        <v>145</v>
      </c>
      <c r="E1114" s="292"/>
      <c r="F1114" s="286"/>
      <c r="G1114" s="293"/>
      <c r="H1114" s="286"/>
      <c r="I1114" s="294"/>
      <c r="J1114" s="295"/>
    </row>
    <row r="1115" spans="1:10">
      <c r="A1115" s="285"/>
      <c r="B1115" s="382"/>
      <c r="C1115" s="287">
        <v>1</v>
      </c>
      <c r="D1115" s="296" t="s">
        <v>9</v>
      </c>
      <c r="E1115" s="287">
        <v>0.25</v>
      </c>
      <c r="F1115" s="297" t="s">
        <v>10</v>
      </c>
      <c r="G1115" s="293">
        <v>1</v>
      </c>
      <c r="H1115" s="297" t="s">
        <v>10</v>
      </c>
      <c r="I1115" s="298">
        <v>775</v>
      </c>
      <c r="J1115" s="295">
        <f>SUM(E1115*I1115/G1115)</f>
        <v>193.75</v>
      </c>
    </row>
    <row r="1116" spans="1:10" ht="25.5">
      <c r="A1116" s="285"/>
      <c r="B1116" s="382"/>
      <c r="C1116" s="287">
        <v>2</v>
      </c>
      <c r="D1116" s="299" t="s">
        <v>11</v>
      </c>
      <c r="E1116" s="287">
        <v>0.25</v>
      </c>
      <c r="F1116" s="297" t="s">
        <v>10</v>
      </c>
      <c r="G1116" s="293">
        <v>1</v>
      </c>
      <c r="H1116" s="297" t="s">
        <v>10</v>
      </c>
      <c r="I1116" s="298">
        <v>650</v>
      </c>
      <c r="J1116" s="295">
        <f>SUM(E1116*I1116/G1116)</f>
        <v>162.5</v>
      </c>
    </row>
    <row r="1117" spans="1:10">
      <c r="A1117" s="285"/>
      <c r="B1117" s="382"/>
      <c r="C1117" s="287"/>
      <c r="D1117" s="300" t="s">
        <v>100</v>
      </c>
      <c r="E1117" s="292"/>
      <c r="F1117" s="297"/>
      <c r="G1117" s="293"/>
      <c r="H1117" s="297"/>
      <c r="I1117" s="294"/>
      <c r="J1117" s="295">
        <f>SUM(J1115:J1116)</f>
        <v>356.25</v>
      </c>
    </row>
    <row r="1118" spans="1:10">
      <c r="A1118" s="285"/>
      <c r="B1118" s="382"/>
      <c r="C1118" s="287"/>
      <c r="D1118" s="301" t="s">
        <v>43</v>
      </c>
      <c r="E1118" s="302"/>
      <c r="F1118" s="286"/>
      <c r="G1118" s="293"/>
      <c r="H1118" s="286"/>
      <c r="I1118" s="294"/>
      <c r="J1118" s="295">
        <f>J1117*0.4</f>
        <v>142.5</v>
      </c>
    </row>
    <row r="1119" spans="1:10">
      <c r="A1119" s="285"/>
      <c r="B1119" s="382"/>
      <c r="C1119" s="287"/>
      <c r="D1119" s="301" t="s">
        <v>44</v>
      </c>
      <c r="E1119" s="302"/>
      <c r="F1119" s="286"/>
      <c r="G1119" s="293"/>
      <c r="H1119" s="286"/>
      <c r="I1119" s="294"/>
      <c r="J1119" s="295">
        <f>SUM(J1117:J1118)</f>
        <v>498.75</v>
      </c>
    </row>
    <row r="1120" spans="1:10">
      <c r="A1120" s="285"/>
      <c r="B1120" s="286"/>
      <c r="C1120" s="287">
        <v>3</v>
      </c>
      <c r="D1120" s="300" t="s">
        <v>190</v>
      </c>
      <c r="E1120" s="293"/>
      <c r="F1120" s="286"/>
      <c r="G1120" s="293"/>
      <c r="H1120" s="286"/>
      <c r="I1120" s="294">
        <v>15</v>
      </c>
      <c r="J1120" s="295">
        <f>I1120</f>
        <v>15</v>
      </c>
    </row>
    <row r="1121" spans="1:10">
      <c r="A1121" s="285"/>
      <c r="B1121" s="286"/>
      <c r="C1121" s="287"/>
      <c r="D1121" s="300" t="s">
        <v>191</v>
      </c>
      <c r="E1121" s="292"/>
      <c r="F1121" s="297"/>
      <c r="G1121" s="293"/>
      <c r="H1121" s="297"/>
      <c r="I1121" s="294"/>
      <c r="J1121" s="295">
        <f>SUM(J1120:J1120)</f>
        <v>15</v>
      </c>
    </row>
    <row r="1122" spans="1:10">
      <c r="A1122" s="285"/>
      <c r="B1122" s="286"/>
      <c r="C1122" s="287"/>
      <c r="D1122" s="300" t="s">
        <v>164</v>
      </c>
      <c r="E1122" s="292"/>
      <c r="F1122" s="297"/>
      <c r="G1122" s="293"/>
      <c r="H1122" s="297"/>
      <c r="I1122" s="294"/>
      <c r="J1122" s="295"/>
    </row>
    <row r="1123" spans="1:10" ht="51">
      <c r="A1123" s="285"/>
      <c r="B1123" s="286" t="s">
        <v>192</v>
      </c>
      <c r="C1123" s="287">
        <v>4</v>
      </c>
      <c r="D1123" s="303" t="s">
        <v>193</v>
      </c>
      <c r="E1123" s="304">
        <v>1</v>
      </c>
      <c r="F1123" s="285" t="s">
        <v>29</v>
      </c>
      <c r="G1123" s="304">
        <v>1</v>
      </c>
      <c r="H1123" s="285" t="s">
        <v>29</v>
      </c>
      <c r="I1123" s="298">
        <v>1817</v>
      </c>
      <c r="J1123" s="295">
        <f>SUM(E1123*I1123/G1123)</f>
        <v>1817</v>
      </c>
    </row>
    <row r="1124" spans="1:10">
      <c r="A1124" s="285"/>
      <c r="B1124" s="286"/>
      <c r="C1124" s="287"/>
      <c r="D1124" s="300" t="s">
        <v>194</v>
      </c>
      <c r="E1124" s="292"/>
      <c r="F1124" s="286"/>
      <c r="G1124" s="293"/>
      <c r="H1124" s="286"/>
      <c r="I1124" s="305">
        <v>0.01</v>
      </c>
      <c r="J1124" s="295">
        <f>J1123*I1124</f>
        <v>18.170000000000002</v>
      </c>
    </row>
    <row r="1125" spans="1:10">
      <c r="A1125" s="285"/>
      <c r="B1125" s="286"/>
      <c r="C1125" s="287"/>
      <c r="D1125" s="300" t="s">
        <v>170</v>
      </c>
      <c r="E1125" s="292"/>
      <c r="F1125" s="297"/>
      <c r="G1125" s="293"/>
      <c r="H1125" s="297"/>
      <c r="I1125" s="294"/>
      <c r="J1125" s="295">
        <f>SUM(J1121:J1124)</f>
        <v>1850.17</v>
      </c>
    </row>
    <row r="1126" spans="1:10">
      <c r="A1126" s="285"/>
      <c r="B1126" s="286"/>
      <c r="C1126" s="287"/>
      <c r="D1126" s="300" t="s">
        <v>35</v>
      </c>
      <c r="E1126" s="286"/>
      <c r="F1126" s="286"/>
      <c r="G1126" s="286"/>
      <c r="H1126" s="286"/>
      <c r="I1126" s="306"/>
      <c r="J1126" s="307">
        <f>J1125+J1119</f>
        <v>2348.92</v>
      </c>
    </row>
    <row r="1127" spans="1:10">
      <c r="A1127" s="285"/>
      <c r="B1127" s="286"/>
      <c r="C1127" s="287"/>
      <c r="D1127" s="303" t="s">
        <v>36</v>
      </c>
      <c r="E1127" s="308"/>
      <c r="F1127" s="309"/>
      <c r="G1127" s="304"/>
      <c r="H1127" s="309"/>
      <c r="I1127" s="298"/>
      <c r="J1127" s="310">
        <f>(J1126)*0.10615</f>
        <v>249.33785799999998</v>
      </c>
    </row>
    <row r="1128" spans="1:10">
      <c r="A1128" s="285"/>
      <c r="B1128" s="286"/>
      <c r="C1128" s="287"/>
      <c r="D1128" s="303" t="s">
        <v>37</v>
      </c>
      <c r="E1128" s="308"/>
      <c r="F1128" s="309"/>
      <c r="G1128" s="304"/>
      <c r="H1128" s="309"/>
      <c r="I1128" s="298"/>
      <c r="J1128" s="310">
        <f>SUM(J1126:J1127)</f>
        <v>2598.2578579999999</v>
      </c>
    </row>
    <row r="1129" spans="1:10">
      <c r="A1129" s="285"/>
      <c r="B1129" s="286"/>
      <c r="C1129" s="287"/>
      <c r="D1129" s="303" t="s">
        <v>38</v>
      </c>
      <c r="E1129" s="308"/>
      <c r="F1129" s="309"/>
      <c r="G1129" s="304"/>
      <c r="H1129" s="309"/>
      <c r="I1129" s="298"/>
      <c r="J1129" s="311">
        <f>ROUND(J1128,0)</f>
        <v>2598</v>
      </c>
    </row>
    <row r="1130" spans="1:10">
      <c r="A1130" s="279"/>
      <c r="B1130" s="280"/>
      <c r="C1130" s="281"/>
      <c r="D1130" s="282" t="s">
        <v>512</v>
      </c>
      <c r="E1130" s="283"/>
      <c r="F1130" s="283"/>
      <c r="G1130" s="283"/>
      <c r="H1130" s="283"/>
      <c r="I1130" s="283"/>
      <c r="J1130" s="284"/>
    </row>
    <row r="1131" spans="1:10">
      <c r="A1131" s="285"/>
      <c r="B1131" s="286"/>
      <c r="C1131" s="287"/>
      <c r="D1131" s="203" t="s">
        <v>378</v>
      </c>
      <c r="E1131" s="286"/>
      <c r="F1131" s="286"/>
      <c r="G1131" s="286"/>
      <c r="H1131" s="286"/>
      <c r="I1131" s="287"/>
      <c r="J1131" s="288"/>
    </row>
    <row r="1132" spans="1:10" ht="51">
      <c r="A1132" s="285"/>
      <c r="B1132" s="382" t="s">
        <v>188</v>
      </c>
      <c r="C1132" s="289"/>
      <c r="D1132" s="290" t="s">
        <v>513</v>
      </c>
      <c r="E1132" s="290"/>
      <c r="F1132" s="290"/>
      <c r="G1132" s="290"/>
      <c r="H1132" s="290"/>
      <c r="I1132" s="290"/>
      <c r="J1132" s="291"/>
    </row>
    <row r="1133" spans="1:10">
      <c r="A1133" s="285"/>
      <c r="B1133" s="382"/>
      <c r="C1133" s="289"/>
      <c r="D1133" s="289" t="s">
        <v>145</v>
      </c>
      <c r="E1133" s="292"/>
      <c r="F1133" s="286"/>
      <c r="G1133" s="293"/>
      <c r="H1133" s="286"/>
      <c r="I1133" s="294"/>
      <c r="J1133" s="295"/>
    </row>
    <row r="1134" spans="1:10">
      <c r="A1134" s="285"/>
      <c r="B1134" s="382"/>
      <c r="C1134" s="287">
        <v>1</v>
      </c>
      <c r="D1134" s="296" t="s">
        <v>9</v>
      </c>
      <c r="E1134" s="287">
        <v>0.25</v>
      </c>
      <c r="F1134" s="297" t="s">
        <v>10</v>
      </c>
      <c r="G1134" s="293">
        <v>1</v>
      </c>
      <c r="H1134" s="297" t="s">
        <v>10</v>
      </c>
      <c r="I1134" s="298">
        <v>775</v>
      </c>
      <c r="J1134" s="295">
        <f>SUM(E1134*I1134/G1134)</f>
        <v>193.75</v>
      </c>
    </row>
    <row r="1135" spans="1:10" ht="25.5">
      <c r="A1135" s="285"/>
      <c r="B1135" s="382"/>
      <c r="C1135" s="287">
        <v>2</v>
      </c>
      <c r="D1135" s="299" t="s">
        <v>11</v>
      </c>
      <c r="E1135" s="287">
        <v>0.25</v>
      </c>
      <c r="F1135" s="297" t="s">
        <v>10</v>
      </c>
      <c r="G1135" s="293">
        <v>1</v>
      </c>
      <c r="H1135" s="297" t="s">
        <v>10</v>
      </c>
      <c r="I1135" s="298">
        <v>650</v>
      </c>
      <c r="J1135" s="295">
        <f>SUM(E1135*I1135/G1135)</f>
        <v>162.5</v>
      </c>
    </row>
    <row r="1136" spans="1:10">
      <c r="A1136" s="285"/>
      <c r="B1136" s="382"/>
      <c r="C1136" s="287"/>
      <c r="D1136" s="300" t="s">
        <v>100</v>
      </c>
      <c r="E1136" s="292"/>
      <c r="F1136" s="297"/>
      <c r="G1136" s="293"/>
      <c r="H1136" s="297"/>
      <c r="I1136" s="294"/>
      <c r="J1136" s="295">
        <f>SUM(J1134:J1135)</f>
        <v>356.25</v>
      </c>
    </row>
    <row r="1137" spans="1:10">
      <c r="A1137" s="285"/>
      <c r="B1137" s="382"/>
      <c r="C1137" s="287"/>
      <c r="D1137" s="301" t="s">
        <v>43</v>
      </c>
      <c r="E1137" s="302"/>
      <c r="F1137" s="286"/>
      <c r="G1137" s="293"/>
      <c r="H1137" s="286"/>
      <c r="I1137" s="294"/>
      <c r="J1137" s="295">
        <f>J1136*0.4</f>
        <v>142.5</v>
      </c>
    </row>
    <row r="1138" spans="1:10">
      <c r="A1138" s="285"/>
      <c r="B1138" s="382"/>
      <c r="C1138" s="287"/>
      <c r="D1138" s="301" t="s">
        <v>44</v>
      </c>
      <c r="E1138" s="302"/>
      <c r="F1138" s="286"/>
      <c r="G1138" s="293"/>
      <c r="H1138" s="286"/>
      <c r="I1138" s="294"/>
      <c r="J1138" s="295">
        <f>SUM(J1136:J1137)</f>
        <v>498.75</v>
      </c>
    </row>
    <row r="1139" spans="1:10">
      <c r="A1139" s="285"/>
      <c r="B1139" s="286"/>
      <c r="C1139" s="287">
        <v>3</v>
      </c>
      <c r="D1139" s="300" t="s">
        <v>190</v>
      </c>
      <c r="E1139" s="293"/>
      <c r="F1139" s="286"/>
      <c r="G1139" s="293"/>
      <c r="H1139" s="286"/>
      <c r="I1139" s="294">
        <v>15</v>
      </c>
      <c r="J1139" s="295">
        <f>I1139</f>
        <v>15</v>
      </c>
    </row>
    <row r="1140" spans="1:10">
      <c r="A1140" s="285"/>
      <c r="B1140" s="286"/>
      <c r="C1140" s="287"/>
      <c r="D1140" s="300" t="s">
        <v>191</v>
      </c>
      <c r="E1140" s="292"/>
      <c r="F1140" s="297"/>
      <c r="G1140" s="293"/>
      <c r="H1140" s="297"/>
      <c r="I1140" s="294"/>
      <c r="J1140" s="295">
        <f>SUM(J1139:J1139)</f>
        <v>15</v>
      </c>
    </row>
    <row r="1141" spans="1:10">
      <c r="A1141" s="285"/>
      <c r="B1141" s="286"/>
      <c r="C1141" s="287"/>
      <c r="D1141" s="300" t="s">
        <v>164</v>
      </c>
      <c r="E1141" s="292"/>
      <c r="F1141" s="297"/>
      <c r="G1141" s="293"/>
      <c r="H1141" s="297"/>
      <c r="I1141" s="294"/>
      <c r="J1141" s="295"/>
    </row>
    <row r="1142" spans="1:10" ht="38.25">
      <c r="A1142" s="285"/>
      <c r="B1142" s="286" t="s">
        <v>514</v>
      </c>
      <c r="C1142" s="287">
        <v>4</v>
      </c>
      <c r="D1142" s="303" t="s">
        <v>515</v>
      </c>
      <c r="E1142" s="304">
        <v>1</v>
      </c>
      <c r="F1142" s="285" t="s">
        <v>29</v>
      </c>
      <c r="G1142" s="304">
        <v>1</v>
      </c>
      <c r="H1142" s="285" t="s">
        <v>29</v>
      </c>
      <c r="I1142" s="298">
        <v>1487</v>
      </c>
      <c r="J1142" s="295">
        <f>SUM(E1142*I1142/G1142)</f>
        <v>1487</v>
      </c>
    </row>
    <row r="1143" spans="1:10">
      <c r="A1143" s="285"/>
      <c r="B1143" s="286"/>
      <c r="C1143" s="287"/>
      <c r="D1143" s="300" t="s">
        <v>194</v>
      </c>
      <c r="E1143" s="292"/>
      <c r="F1143" s="286"/>
      <c r="G1143" s="293"/>
      <c r="H1143" s="286"/>
      <c r="I1143" s="305">
        <v>0.01</v>
      </c>
      <c r="J1143" s="295">
        <f>J1142*I1143</f>
        <v>14.870000000000001</v>
      </c>
    </row>
    <row r="1144" spans="1:10">
      <c r="A1144" s="285"/>
      <c r="B1144" s="286"/>
      <c r="C1144" s="287"/>
      <c r="D1144" s="300" t="s">
        <v>170</v>
      </c>
      <c r="E1144" s="292"/>
      <c r="F1144" s="297"/>
      <c r="G1144" s="293"/>
      <c r="H1144" s="297"/>
      <c r="I1144" s="294"/>
      <c r="J1144" s="295">
        <f>SUM(J1140:J1143)</f>
        <v>1516.87</v>
      </c>
    </row>
    <row r="1145" spans="1:10">
      <c r="A1145" s="285"/>
      <c r="B1145" s="286"/>
      <c r="C1145" s="287"/>
      <c r="D1145" s="300" t="s">
        <v>35</v>
      </c>
      <c r="E1145" s="286"/>
      <c r="F1145" s="286"/>
      <c r="G1145" s="286"/>
      <c r="H1145" s="286"/>
      <c r="I1145" s="306"/>
      <c r="J1145" s="307">
        <f>J1144+J1138</f>
        <v>2015.62</v>
      </c>
    </row>
    <row r="1146" spans="1:10">
      <c r="A1146" s="285"/>
      <c r="B1146" s="286"/>
      <c r="C1146" s="287"/>
      <c r="D1146" s="303" t="s">
        <v>36</v>
      </c>
      <c r="E1146" s="308"/>
      <c r="F1146" s="309"/>
      <c r="G1146" s="304"/>
      <c r="H1146" s="309"/>
      <c r="I1146" s="298"/>
      <c r="J1146" s="310">
        <f>(J1145)*0.10615</f>
        <v>213.95806299999998</v>
      </c>
    </row>
    <row r="1147" spans="1:10">
      <c r="A1147" s="285"/>
      <c r="B1147" s="286"/>
      <c r="C1147" s="287"/>
      <c r="D1147" s="303" t="s">
        <v>37</v>
      </c>
      <c r="E1147" s="308"/>
      <c r="F1147" s="309"/>
      <c r="G1147" s="304"/>
      <c r="H1147" s="309"/>
      <c r="I1147" s="298"/>
      <c r="J1147" s="310">
        <f>SUM(J1145:J1146)</f>
        <v>2229.5780629999999</v>
      </c>
    </row>
    <row r="1148" spans="1:10">
      <c r="A1148" s="285"/>
      <c r="B1148" s="286"/>
      <c r="C1148" s="287"/>
      <c r="D1148" s="303" t="s">
        <v>38</v>
      </c>
      <c r="E1148" s="308"/>
      <c r="F1148" s="309"/>
      <c r="G1148" s="304"/>
      <c r="H1148" s="309"/>
      <c r="I1148" s="298"/>
      <c r="J1148" s="311">
        <f>ROUND(J1147,0)</f>
        <v>2230</v>
      </c>
    </row>
    <row r="1149" spans="1:10">
      <c r="A1149" s="312"/>
      <c r="B1149" s="312"/>
      <c r="C1149" s="313"/>
      <c r="D1149" s="282" t="s">
        <v>516</v>
      </c>
      <c r="E1149" s="284"/>
      <c r="F1149" s="284"/>
      <c r="G1149" s="284"/>
      <c r="H1149" s="284"/>
      <c r="I1149" s="284"/>
      <c r="J1149" s="284"/>
    </row>
    <row r="1150" spans="1:10">
      <c r="A1150" s="314"/>
      <c r="B1150" s="288"/>
      <c r="C1150" s="314"/>
      <c r="D1150" s="203" t="s">
        <v>378</v>
      </c>
      <c r="E1150" s="307"/>
      <c r="F1150" s="315"/>
      <c r="G1150" s="316"/>
      <c r="H1150" s="315"/>
      <c r="I1150" s="295"/>
      <c r="J1150" s="295"/>
    </row>
    <row r="1151" spans="1:10" ht="38.25">
      <c r="A1151" s="288"/>
      <c r="B1151" s="316" t="s">
        <v>205</v>
      </c>
      <c r="C1151" s="317"/>
      <c r="D1151" s="291" t="s">
        <v>517</v>
      </c>
      <c r="E1151" s="291"/>
      <c r="F1151" s="291"/>
      <c r="G1151" s="291"/>
      <c r="H1151" s="291"/>
      <c r="I1151" s="291"/>
      <c r="J1151" s="291"/>
    </row>
    <row r="1152" spans="1:10">
      <c r="A1152" s="288"/>
      <c r="B1152" s="288"/>
      <c r="C1152" s="314"/>
      <c r="D1152" s="318" t="s">
        <v>4</v>
      </c>
      <c r="E1152" s="307"/>
      <c r="F1152" s="288"/>
      <c r="G1152" s="316"/>
      <c r="H1152" s="288"/>
      <c r="I1152" s="295"/>
      <c r="J1152" s="295"/>
    </row>
    <row r="1153" spans="1:10">
      <c r="A1153" s="288"/>
      <c r="B1153" s="288"/>
      <c r="C1153" s="314">
        <v>1</v>
      </c>
      <c r="D1153" s="319" t="s">
        <v>9</v>
      </c>
      <c r="E1153" s="307">
        <v>1</v>
      </c>
      <c r="F1153" s="315" t="s">
        <v>10</v>
      </c>
      <c r="G1153" s="316">
        <v>1</v>
      </c>
      <c r="H1153" s="315" t="s">
        <v>10</v>
      </c>
      <c r="I1153" s="295">
        <v>775</v>
      </c>
      <c r="J1153" s="295">
        <f>SUM(E1153*I1153/G1153)</f>
        <v>775</v>
      </c>
    </row>
    <row r="1154" spans="1:10" ht="25.5">
      <c r="A1154" s="288"/>
      <c r="B1154" s="288"/>
      <c r="C1154" s="314">
        <v>2</v>
      </c>
      <c r="D1154" s="320" t="s">
        <v>11</v>
      </c>
      <c r="E1154" s="307">
        <v>3</v>
      </c>
      <c r="F1154" s="315" t="s">
        <v>10</v>
      </c>
      <c r="G1154" s="316">
        <v>1</v>
      </c>
      <c r="H1154" s="315" t="s">
        <v>10</v>
      </c>
      <c r="I1154" s="295">
        <v>650</v>
      </c>
      <c r="J1154" s="295">
        <f>SUM(E1154*I1154/G1154)</f>
        <v>1950</v>
      </c>
    </row>
    <row r="1155" spans="1:10">
      <c r="A1155" s="288"/>
      <c r="B1155" s="288"/>
      <c r="C1155" s="314">
        <v>3</v>
      </c>
      <c r="D1155" s="320" t="s">
        <v>12</v>
      </c>
      <c r="E1155" s="307">
        <v>1</v>
      </c>
      <c r="F1155" s="315" t="s">
        <v>10</v>
      </c>
      <c r="G1155" s="316">
        <v>1</v>
      </c>
      <c r="H1155" s="315" t="s">
        <v>10</v>
      </c>
      <c r="I1155" s="295">
        <v>650</v>
      </c>
      <c r="J1155" s="295">
        <f>SUM(E1155*I1155/G1155)</f>
        <v>650</v>
      </c>
    </row>
    <row r="1156" spans="1:10">
      <c r="A1156" s="288"/>
      <c r="B1156" s="288"/>
      <c r="C1156" s="314"/>
      <c r="D1156" s="318" t="s">
        <v>198</v>
      </c>
      <c r="E1156" s="307"/>
      <c r="F1156" s="315"/>
      <c r="G1156" s="316"/>
      <c r="H1156" s="315"/>
      <c r="I1156" s="295"/>
      <c r="J1156" s="295">
        <f>SUM(J1153:J1155)</f>
        <v>3375</v>
      </c>
    </row>
    <row r="1157" spans="1:10">
      <c r="A1157" s="288"/>
      <c r="B1157" s="288"/>
      <c r="C1157" s="314"/>
      <c r="D1157" s="318" t="s">
        <v>199</v>
      </c>
      <c r="E1157" s="316"/>
      <c r="F1157" s="315"/>
      <c r="G1157" s="316"/>
      <c r="H1157" s="315"/>
      <c r="I1157" s="295"/>
      <c r="J1157" s="295">
        <f>SUM(J1156/100)</f>
        <v>33.75</v>
      </c>
    </row>
    <row r="1158" spans="1:10">
      <c r="A1158" s="288"/>
      <c r="B1158" s="288"/>
      <c r="C1158" s="314"/>
      <c r="D1158" s="291" t="s">
        <v>43</v>
      </c>
      <c r="E1158" s="314"/>
      <c r="F1158" s="288"/>
      <c r="G1158" s="316"/>
      <c r="H1158" s="288"/>
      <c r="I1158" s="295"/>
      <c r="J1158" s="295">
        <f>J1157*0.4</f>
        <v>13.5</v>
      </c>
    </row>
    <row r="1159" spans="1:10">
      <c r="A1159" s="288"/>
      <c r="B1159" s="288"/>
      <c r="C1159" s="314"/>
      <c r="D1159" s="291" t="s">
        <v>44</v>
      </c>
      <c r="E1159" s="314"/>
      <c r="F1159" s="288"/>
      <c r="G1159" s="316"/>
      <c r="H1159" s="288"/>
      <c r="I1159" s="295"/>
      <c r="J1159" s="295">
        <f>SUM(J1157:J1158)</f>
        <v>47.25</v>
      </c>
    </row>
    <row r="1160" spans="1:10">
      <c r="A1160" s="288"/>
      <c r="B1160" s="288"/>
      <c r="C1160" s="314"/>
      <c r="D1160" s="318" t="s">
        <v>18</v>
      </c>
      <c r="E1160" s="307"/>
      <c r="F1160" s="315"/>
      <c r="G1160" s="316"/>
      <c r="H1160" s="315"/>
      <c r="I1160" s="295"/>
      <c r="J1160" s="295"/>
    </row>
    <row r="1161" spans="1:10" ht="38.25">
      <c r="A1161" s="288"/>
      <c r="B1161" s="288" t="s">
        <v>518</v>
      </c>
      <c r="C1161" s="314">
        <v>4</v>
      </c>
      <c r="D1161" s="321" t="s">
        <v>519</v>
      </c>
      <c r="E1161" s="307">
        <v>100</v>
      </c>
      <c r="F1161" s="288" t="s">
        <v>64</v>
      </c>
      <c r="G1161" s="316">
        <v>100</v>
      </c>
      <c r="H1161" s="288" t="s">
        <v>64</v>
      </c>
      <c r="I1161" s="295">
        <v>4956</v>
      </c>
      <c r="J1161" s="295">
        <f>SUM(E1161*I1161/G1161)</f>
        <v>4956</v>
      </c>
    </row>
    <row r="1162" spans="1:10">
      <c r="A1162" s="288"/>
      <c r="B1162" s="288"/>
      <c r="C1162" s="314"/>
      <c r="D1162" s="318" t="s">
        <v>202</v>
      </c>
      <c r="E1162" s="307"/>
      <c r="F1162" s="288"/>
      <c r="G1162" s="316"/>
      <c r="H1162" s="288"/>
      <c r="I1162" s="295"/>
      <c r="J1162" s="295">
        <f>SUM(J1161:J1161)</f>
        <v>4956</v>
      </c>
    </row>
    <row r="1163" spans="1:10">
      <c r="A1163" s="288"/>
      <c r="B1163" s="288"/>
      <c r="C1163" s="314"/>
      <c r="D1163" s="318" t="s">
        <v>203</v>
      </c>
      <c r="E1163" s="307"/>
      <c r="F1163" s="288"/>
      <c r="G1163" s="316"/>
      <c r="H1163" s="288"/>
      <c r="I1163" s="295"/>
      <c r="J1163" s="295">
        <f>SUM(J1162/100)</f>
        <v>49.56</v>
      </c>
    </row>
    <row r="1164" spans="1:10">
      <c r="A1164" s="288"/>
      <c r="B1164" s="288"/>
      <c r="C1164" s="314"/>
      <c r="D1164" s="318" t="s">
        <v>35</v>
      </c>
      <c r="E1164" s="307"/>
      <c r="F1164" s="288"/>
      <c r="G1164" s="316"/>
      <c r="H1164" s="288"/>
      <c r="I1164" s="295"/>
      <c r="J1164" s="295">
        <f>J1163+J1159</f>
        <v>96.81</v>
      </c>
    </row>
    <row r="1165" spans="1:10">
      <c r="A1165" s="288"/>
      <c r="B1165" s="288"/>
      <c r="C1165" s="314"/>
      <c r="D1165" s="318" t="s">
        <v>36</v>
      </c>
      <c r="E1165" s="307"/>
      <c r="F1165" s="315"/>
      <c r="G1165" s="316"/>
      <c r="H1165" s="315"/>
      <c r="I1165" s="295"/>
      <c r="J1165" s="310">
        <f>(J1164)*0.10615</f>
        <v>10.276381499999999</v>
      </c>
    </row>
    <row r="1166" spans="1:10">
      <c r="A1166" s="288"/>
      <c r="B1166" s="288"/>
      <c r="C1166" s="314"/>
      <c r="D1166" s="318" t="s">
        <v>37</v>
      </c>
      <c r="E1166" s="307"/>
      <c r="F1166" s="315"/>
      <c r="G1166" s="316"/>
      <c r="H1166" s="315"/>
      <c r="I1166" s="295"/>
      <c r="J1166" s="310">
        <f>SUM(J1164:J1165)</f>
        <v>107.0863815</v>
      </c>
    </row>
    <row r="1167" spans="1:10">
      <c r="A1167" s="288"/>
      <c r="B1167" s="288"/>
      <c r="C1167" s="314"/>
      <c r="D1167" s="318" t="s">
        <v>38</v>
      </c>
      <c r="E1167" s="307"/>
      <c r="F1167" s="315"/>
      <c r="G1167" s="316"/>
      <c r="H1167" s="315"/>
      <c r="I1167" s="295"/>
      <c r="J1167" s="311">
        <f>ROUND(J1166,0)</f>
        <v>107</v>
      </c>
    </row>
    <row r="1168" spans="1:10">
      <c r="A1168" s="322"/>
      <c r="B1168" s="280"/>
      <c r="C1168" s="281"/>
      <c r="D1168" s="282" t="s">
        <v>520</v>
      </c>
      <c r="E1168" s="283"/>
      <c r="F1168" s="283"/>
      <c r="G1168" s="283"/>
      <c r="H1168" s="283"/>
      <c r="I1168" s="283"/>
      <c r="J1168" s="284"/>
    </row>
    <row r="1169" spans="1:10">
      <c r="A1169" s="323"/>
      <c r="B1169" s="286"/>
      <c r="C1169" s="289"/>
      <c r="D1169" s="324" t="s">
        <v>521</v>
      </c>
      <c r="E1169" s="285"/>
      <c r="F1169" s="285"/>
      <c r="G1169" s="285"/>
      <c r="H1169" s="285"/>
      <c r="I1169" s="298"/>
      <c r="J1169" s="288"/>
    </row>
    <row r="1170" spans="1:10" ht="76.5">
      <c r="A1170" s="323"/>
      <c r="B1170" s="304" t="s">
        <v>143</v>
      </c>
      <c r="C1170" s="325"/>
      <c r="D1170" s="290" t="s">
        <v>522</v>
      </c>
      <c r="E1170" s="290"/>
      <c r="F1170" s="290"/>
      <c r="G1170" s="290"/>
      <c r="H1170" s="290"/>
      <c r="I1170" s="290"/>
      <c r="J1170" s="291"/>
    </row>
    <row r="1171" spans="1:10">
      <c r="A1171" s="323"/>
      <c r="B1171" s="304"/>
      <c r="C1171" s="325"/>
      <c r="D1171" s="290" t="s">
        <v>145</v>
      </c>
      <c r="E1171" s="290"/>
      <c r="F1171" s="290"/>
      <c r="G1171" s="290"/>
      <c r="H1171" s="290"/>
      <c r="I1171" s="290"/>
      <c r="J1171" s="291"/>
    </row>
    <row r="1172" spans="1:10">
      <c r="A1172" s="323"/>
      <c r="B1172" s="286"/>
      <c r="C1172" s="287">
        <v>1</v>
      </c>
      <c r="D1172" s="296" t="s">
        <v>9</v>
      </c>
      <c r="E1172" s="308">
        <v>0.04</v>
      </c>
      <c r="F1172" s="297" t="s">
        <v>10</v>
      </c>
      <c r="G1172" s="293">
        <v>1</v>
      </c>
      <c r="H1172" s="297" t="s">
        <v>10</v>
      </c>
      <c r="I1172" s="294">
        <v>775</v>
      </c>
      <c r="J1172" s="295">
        <f>SUM(E1172*I1172/G1172)</f>
        <v>31</v>
      </c>
    </row>
    <row r="1173" spans="1:10">
      <c r="A1173" s="323"/>
      <c r="B1173" s="286"/>
      <c r="C1173" s="287">
        <v>2</v>
      </c>
      <c r="D1173" s="299" t="s">
        <v>12</v>
      </c>
      <c r="E1173" s="308">
        <v>0.04</v>
      </c>
      <c r="F1173" s="309" t="s">
        <v>10</v>
      </c>
      <c r="G1173" s="304">
        <v>1</v>
      </c>
      <c r="H1173" s="309" t="s">
        <v>10</v>
      </c>
      <c r="I1173" s="298">
        <v>650</v>
      </c>
      <c r="J1173" s="295">
        <f>SUM(E1173*I1173/G1173)</f>
        <v>26</v>
      </c>
    </row>
    <row r="1174" spans="1:10">
      <c r="A1174" s="323"/>
      <c r="B1174" s="286"/>
      <c r="C1174" s="287"/>
      <c r="D1174" s="300" t="s">
        <v>179</v>
      </c>
      <c r="E1174" s="292"/>
      <c r="F1174" s="297"/>
      <c r="G1174" s="293"/>
      <c r="H1174" s="297"/>
      <c r="I1174" s="294"/>
      <c r="J1174" s="295">
        <f>SUM(J1172:J1173)</f>
        <v>57</v>
      </c>
    </row>
    <row r="1175" spans="1:10">
      <c r="A1175" s="323"/>
      <c r="B1175" s="286"/>
      <c r="C1175" s="287"/>
      <c r="D1175" s="301" t="s">
        <v>43</v>
      </c>
      <c r="E1175" s="302"/>
      <c r="F1175" s="286"/>
      <c r="G1175" s="293"/>
      <c r="H1175" s="286"/>
      <c r="I1175" s="294"/>
      <c r="J1175" s="295">
        <f>J1174*0.4</f>
        <v>22.8</v>
      </c>
    </row>
    <row r="1176" spans="1:10">
      <c r="A1176" s="323"/>
      <c r="B1176" s="286"/>
      <c r="C1176" s="287"/>
      <c r="D1176" s="301" t="s">
        <v>44</v>
      </c>
      <c r="E1176" s="302"/>
      <c r="F1176" s="286"/>
      <c r="G1176" s="293"/>
      <c r="H1176" s="286"/>
      <c r="I1176" s="294"/>
      <c r="J1176" s="295">
        <f>SUM(J1174:J1175)</f>
        <v>79.8</v>
      </c>
    </row>
    <row r="1177" spans="1:10">
      <c r="A1177" s="323"/>
      <c r="B1177" s="286"/>
      <c r="C1177" s="287"/>
      <c r="D1177" s="303" t="s">
        <v>18</v>
      </c>
      <c r="E1177" s="308"/>
      <c r="F1177" s="309"/>
      <c r="G1177" s="304"/>
      <c r="H1177" s="309"/>
      <c r="I1177" s="298"/>
      <c r="J1177" s="295"/>
    </row>
    <row r="1178" spans="1:10">
      <c r="A1178" s="323"/>
      <c r="B1178" s="285"/>
      <c r="C1178" s="326"/>
      <c r="D1178" s="303" t="s">
        <v>146</v>
      </c>
      <c r="E1178" s="308"/>
      <c r="F1178" s="309"/>
      <c r="G1178" s="304"/>
      <c r="H1178" s="309"/>
      <c r="I1178" s="298"/>
      <c r="J1178" s="295"/>
    </row>
    <row r="1179" spans="1:10" ht="63.75">
      <c r="A1179" s="323"/>
      <c r="B1179" s="285" t="s">
        <v>523</v>
      </c>
      <c r="C1179" s="326">
        <v>7</v>
      </c>
      <c r="D1179" s="303" t="s">
        <v>524</v>
      </c>
      <c r="E1179" s="304">
        <v>1</v>
      </c>
      <c r="F1179" s="285" t="s">
        <v>29</v>
      </c>
      <c r="G1179" s="304">
        <v>1</v>
      </c>
      <c r="H1179" s="285" t="s">
        <v>29</v>
      </c>
      <c r="I1179" s="298">
        <f>553*0.7</f>
        <v>387.09999999999997</v>
      </c>
      <c r="J1179" s="295">
        <f>SUM(E1179*I1179/G1179)</f>
        <v>387.09999999999997</v>
      </c>
    </row>
    <row r="1180" spans="1:10">
      <c r="A1180" s="323"/>
      <c r="B1180" s="286"/>
      <c r="C1180" s="289"/>
      <c r="D1180" s="303" t="s">
        <v>141</v>
      </c>
      <c r="E1180" s="308"/>
      <c r="F1180" s="285"/>
      <c r="G1180" s="304"/>
      <c r="H1180" s="285"/>
      <c r="I1180" s="298"/>
      <c r="J1180" s="295">
        <f>J1179</f>
        <v>387.09999999999997</v>
      </c>
    </row>
    <row r="1181" spans="1:10">
      <c r="A1181" s="323"/>
      <c r="B1181" s="286"/>
      <c r="C1181" s="289"/>
      <c r="D1181" s="303" t="s">
        <v>35</v>
      </c>
      <c r="E1181" s="285"/>
      <c r="F1181" s="285"/>
      <c r="G1181" s="285"/>
      <c r="H1181" s="285"/>
      <c r="I1181" s="298"/>
      <c r="J1181" s="307">
        <f>J1180+J1176</f>
        <v>466.9</v>
      </c>
    </row>
    <row r="1182" spans="1:10">
      <c r="A1182" s="323"/>
      <c r="B1182" s="286"/>
      <c r="C1182" s="287"/>
      <c r="D1182" s="303" t="s">
        <v>36</v>
      </c>
      <c r="E1182" s="308"/>
      <c r="F1182" s="309"/>
      <c r="G1182" s="304"/>
      <c r="H1182" s="309"/>
      <c r="I1182" s="298"/>
      <c r="J1182" s="310">
        <f>(J1181)*0.10615</f>
        <v>49.561434999999996</v>
      </c>
    </row>
    <row r="1183" spans="1:10">
      <c r="A1183" s="323"/>
      <c r="B1183" s="286"/>
      <c r="C1183" s="287"/>
      <c r="D1183" s="303" t="s">
        <v>37</v>
      </c>
      <c r="E1183" s="308"/>
      <c r="F1183" s="309"/>
      <c r="G1183" s="304"/>
      <c r="H1183" s="309"/>
      <c r="I1183" s="298"/>
      <c r="J1183" s="310">
        <f>SUM(J1181:J1182)</f>
        <v>516.46143499999994</v>
      </c>
    </row>
    <row r="1184" spans="1:10">
      <c r="A1184" s="323"/>
      <c r="B1184" s="286"/>
      <c r="C1184" s="287"/>
      <c r="D1184" s="303" t="s">
        <v>38</v>
      </c>
      <c r="E1184" s="308"/>
      <c r="F1184" s="309"/>
      <c r="G1184" s="304"/>
      <c r="H1184" s="309"/>
      <c r="I1184" s="298"/>
      <c r="J1184" s="311">
        <f>ROUND(J1183,0)</f>
        <v>516</v>
      </c>
    </row>
    <row r="1185" spans="1:10" ht="23.25">
      <c r="A1185" s="327"/>
      <c r="B1185" s="328"/>
      <c r="C1185" s="329"/>
      <c r="D1185" s="330" t="s">
        <v>525</v>
      </c>
      <c r="E1185" s="328"/>
      <c r="F1185" s="328"/>
      <c r="G1185" s="328"/>
      <c r="H1185" s="328"/>
      <c r="I1185" s="328"/>
      <c r="J1185" s="331"/>
    </row>
    <row r="1186" spans="1:10">
      <c r="A1186" s="332"/>
      <c r="B1186" s="307"/>
      <c r="C1186" s="295"/>
      <c r="D1186" s="333" t="s">
        <v>378</v>
      </c>
      <c r="E1186" s="307"/>
      <c r="F1186" s="288"/>
      <c r="G1186" s="316"/>
      <c r="H1186" s="288"/>
      <c r="I1186" s="307"/>
      <c r="J1186" s="307"/>
    </row>
    <row r="1187" spans="1:10" ht="63.75">
      <c r="A1187" s="332"/>
      <c r="B1187" s="316"/>
      <c r="C1187" s="295"/>
      <c r="D1187" s="291" t="s">
        <v>526</v>
      </c>
      <c r="E1187" s="288"/>
      <c r="F1187" s="288"/>
      <c r="G1187" s="288"/>
      <c r="H1187" s="288"/>
      <c r="I1187" s="288"/>
      <c r="J1187" s="288"/>
    </row>
    <row r="1188" spans="1:10">
      <c r="A1188" s="334"/>
      <c r="B1188" s="316"/>
      <c r="C1188" s="317"/>
      <c r="D1188" s="335" t="s">
        <v>145</v>
      </c>
      <c r="E1188" s="307"/>
      <c r="F1188" s="288"/>
      <c r="G1188" s="316"/>
      <c r="H1188" s="288"/>
      <c r="I1188" s="295"/>
      <c r="J1188" s="295"/>
    </row>
    <row r="1189" spans="1:10">
      <c r="A1189" s="334"/>
      <c r="B1189" s="336"/>
      <c r="C1189" s="317">
        <v>1</v>
      </c>
      <c r="D1189" s="319" t="s">
        <v>9</v>
      </c>
      <c r="E1189" s="307">
        <v>0.5</v>
      </c>
      <c r="F1189" s="315" t="s">
        <v>10</v>
      </c>
      <c r="G1189" s="316">
        <v>1</v>
      </c>
      <c r="H1189" s="315" t="s">
        <v>10</v>
      </c>
      <c r="I1189" s="337">
        <v>775</v>
      </c>
      <c r="J1189" s="295">
        <f>SUM(E1189*I1189/G1189)</f>
        <v>387.5</v>
      </c>
    </row>
    <row r="1190" spans="1:10" ht="25.5">
      <c r="A1190" s="334"/>
      <c r="B1190" s="316"/>
      <c r="C1190" s="317">
        <v>2</v>
      </c>
      <c r="D1190" s="320" t="s">
        <v>11</v>
      </c>
      <c r="E1190" s="307">
        <v>2</v>
      </c>
      <c r="F1190" s="315" t="s">
        <v>10</v>
      </c>
      <c r="G1190" s="316">
        <v>1</v>
      </c>
      <c r="H1190" s="315" t="s">
        <v>10</v>
      </c>
      <c r="I1190" s="337">
        <v>650</v>
      </c>
      <c r="J1190" s="295">
        <f>SUM(E1190*I1190/G1190)</f>
        <v>1300</v>
      </c>
    </row>
    <row r="1191" spans="1:10">
      <c r="A1191" s="334"/>
      <c r="B1191" s="316"/>
      <c r="C1191" s="317"/>
      <c r="D1191" s="338" t="s">
        <v>316</v>
      </c>
      <c r="E1191" s="307"/>
      <c r="F1191" s="315"/>
      <c r="G1191" s="316"/>
      <c r="H1191" s="315"/>
      <c r="I1191" s="295"/>
      <c r="J1191" s="295">
        <f>SUM(J1189:J1190)</f>
        <v>1687.5</v>
      </c>
    </row>
    <row r="1192" spans="1:10">
      <c r="A1192" s="334"/>
      <c r="B1192" s="316"/>
      <c r="C1192" s="317"/>
      <c r="D1192" s="338" t="s">
        <v>317</v>
      </c>
      <c r="E1192" s="307"/>
      <c r="F1192" s="315"/>
      <c r="G1192" s="316"/>
      <c r="H1192" s="315"/>
      <c r="I1192" s="295"/>
      <c r="J1192" s="295">
        <f>SUM(J1191/100)</f>
        <v>16.875</v>
      </c>
    </row>
    <row r="1193" spans="1:10">
      <c r="A1193" s="334"/>
      <c r="B1193" s="316"/>
      <c r="C1193" s="317"/>
      <c r="D1193" s="291" t="s">
        <v>43</v>
      </c>
      <c r="E1193" s="314"/>
      <c r="F1193" s="288"/>
      <c r="G1193" s="316"/>
      <c r="H1193" s="288"/>
      <c r="I1193" s="295"/>
      <c r="J1193" s="295">
        <f>J1192*0.4</f>
        <v>6.75</v>
      </c>
    </row>
    <row r="1194" spans="1:10">
      <c r="A1194" s="334"/>
      <c r="B1194" s="316"/>
      <c r="C1194" s="317"/>
      <c r="D1194" s="291" t="s">
        <v>17</v>
      </c>
      <c r="E1194" s="314"/>
      <c r="F1194" s="288"/>
      <c r="G1194" s="316"/>
      <c r="H1194" s="288"/>
      <c r="I1194" s="295"/>
      <c r="J1194" s="295">
        <f>SUM(J1192:J1193)</f>
        <v>23.625</v>
      </c>
    </row>
    <row r="1195" spans="1:10">
      <c r="A1195" s="332"/>
      <c r="B1195" s="307"/>
      <c r="C1195" s="339"/>
      <c r="D1195" s="291" t="s">
        <v>18</v>
      </c>
      <c r="E1195" s="307"/>
      <c r="F1195" s="315"/>
      <c r="G1195" s="316"/>
      <c r="H1195" s="315"/>
      <c r="I1195" s="307"/>
      <c r="J1195" s="307"/>
    </row>
    <row r="1196" spans="1:10" ht="89.25">
      <c r="A1196" s="332"/>
      <c r="B1196" s="307" t="s">
        <v>527</v>
      </c>
      <c r="C1196" s="317">
        <v>3</v>
      </c>
      <c r="D1196" s="291" t="s">
        <v>528</v>
      </c>
      <c r="E1196" s="307">
        <v>1</v>
      </c>
      <c r="F1196" s="288" t="s">
        <v>32</v>
      </c>
      <c r="G1196" s="316">
        <v>1</v>
      </c>
      <c r="H1196" s="288" t="s">
        <v>32</v>
      </c>
      <c r="I1196" s="307">
        <v>429</v>
      </c>
      <c r="J1196" s="307">
        <f>SUM(E1196*I1196/G1196)</f>
        <v>429</v>
      </c>
    </row>
    <row r="1197" spans="1:10">
      <c r="A1197" s="332"/>
      <c r="B1197" s="288"/>
      <c r="C1197" s="314"/>
      <c r="D1197" s="318" t="s">
        <v>181</v>
      </c>
      <c r="E1197" s="307"/>
      <c r="F1197" s="288"/>
      <c r="G1197" s="316"/>
      <c r="H1197" s="288"/>
      <c r="I1197" s="295"/>
      <c r="J1197" s="295">
        <f>SUM(J1196:J1196)</f>
        <v>429</v>
      </c>
    </row>
    <row r="1198" spans="1:10">
      <c r="A1198" s="332"/>
      <c r="B1198" s="288"/>
      <c r="C1198" s="314"/>
      <c r="D1198" s="318" t="s">
        <v>435</v>
      </c>
      <c r="E1198" s="307"/>
      <c r="F1198" s="288"/>
      <c r="G1198" s="316"/>
      <c r="H1198" s="288"/>
      <c r="I1198" s="295"/>
      <c r="J1198" s="295">
        <f>J1197+J1194</f>
        <v>452.625</v>
      </c>
    </row>
    <row r="1199" spans="1:10">
      <c r="A1199" s="332"/>
      <c r="B1199" s="288"/>
      <c r="C1199" s="314"/>
      <c r="D1199" s="318" t="s">
        <v>36</v>
      </c>
      <c r="E1199" s="307"/>
      <c r="F1199" s="315"/>
      <c r="G1199" s="316"/>
      <c r="H1199" s="315"/>
      <c r="I1199" s="295"/>
      <c r="J1199" s="310">
        <f>(J1198)*0.10615</f>
        <v>48.046143749999999</v>
      </c>
    </row>
    <row r="1200" spans="1:10">
      <c r="A1200" s="332"/>
      <c r="B1200" s="288"/>
      <c r="C1200" s="314"/>
      <c r="D1200" s="318" t="s">
        <v>181</v>
      </c>
      <c r="E1200" s="307"/>
      <c r="F1200" s="288"/>
      <c r="G1200" s="316"/>
      <c r="H1200" s="288"/>
      <c r="I1200" s="295"/>
      <c r="J1200" s="295">
        <f>SUM(J1198:J1199)</f>
        <v>500.67114375</v>
      </c>
    </row>
    <row r="1201" spans="1:10">
      <c r="A1201" s="332"/>
      <c r="B1201" s="288"/>
      <c r="C1201" s="314"/>
      <c r="D1201" s="318" t="s">
        <v>38</v>
      </c>
      <c r="E1201" s="307"/>
      <c r="F1201" s="288"/>
      <c r="G1201" s="316"/>
      <c r="H1201" s="288"/>
      <c r="I1201" s="295"/>
      <c r="J1201" s="340">
        <f>ROUND(J1200,0)</f>
        <v>501</v>
      </c>
    </row>
    <row r="1202" spans="1:10" ht="23.25">
      <c r="A1202" s="130"/>
      <c r="B1202" s="130"/>
      <c r="C1202" s="131"/>
      <c r="D1202" s="132" t="s">
        <v>529</v>
      </c>
      <c r="E1202" s="130"/>
      <c r="F1202" s="130"/>
      <c r="G1202" s="130"/>
      <c r="H1202" s="130"/>
      <c r="I1202" s="130"/>
      <c r="J1202" s="133"/>
    </row>
    <row r="1203" spans="1:10">
      <c r="A1203" s="17"/>
      <c r="B1203" s="63"/>
      <c r="C1203" s="64"/>
      <c r="D1203" s="324" t="s">
        <v>378</v>
      </c>
      <c r="E1203" s="63"/>
      <c r="F1203" s="63"/>
      <c r="G1203" s="63"/>
      <c r="H1203" s="63"/>
      <c r="I1203" s="63"/>
      <c r="J1203" s="63"/>
    </row>
    <row r="1204" spans="1:10" ht="51">
      <c r="A1204" s="17"/>
      <c r="B1204" s="43" t="s">
        <v>247</v>
      </c>
      <c r="C1204" s="60"/>
      <c r="D1204" s="27" t="s">
        <v>530</v>
      </c>
      <c r="E1204" s="17"/>
      <c r="F1204" s="17"/>
      <c r="G1204" s="17"/>
      <c r="H1204" s="17"/>
      <c r="I1204" s="17"/>
      <c r="J1204" s="63"/>
    </row>
    <row r="1205" spans="1:10">
      <c r="A1205" s="323"/>
      <c r="B1205" s="304"/>
      <c r="C1205" s="325"/>
      <c r="D1205" s="290" t="s">
        <v>145</v>
      </c>
      <c r="E1205" s="290"/>
      <c r="F1205" s="290"/>
      <c r="G1205" s="290"/>
      <c r="H1205" s="290"/>
      <c r="I1205" s="290"/>
      <c r="J1205" s="291"/>
    </row>
    <row r="1206" spans="1:10">
      <c r="A1206" s="323"/>
      <c r="B1206" s="286"/>
      <c r="C1206" s="287">
        <v>1</v>
      </c>
      <c r="D1206" s="296" t="s">
        <v>9</v>
      </c>
      <c r="E1206" s="308">
        <v>0.5</v>
      </c>
      <c r="F1206" s="297" t="s">
        <v>10</v>
      </c>
      <c r="G1206" s="293">
        <v>1</v>
      </c>
      <c r="H1206" s="297" t="s">
        <v>10</v>
      </c>
      <c r="I1206" s="294">
        <v>775</v>
      </c>
      <c r="J1206" s="295">
        <f>SUM(E1206*I1206/G1206)</f>
        <v>387.5</v>
      </c>
    </row>
    <row r="1207" spans="1:10">
      <c r="A1207" s="323"/>
      <c r="B1207" s="286"/>
      <c r="C1207" s="287">
        <v>2</v>
      </c>
      <c r="D1207" s="299" t="s">
        <v>12</v>
      </c>
      <c r="E1207" s="308">
        <v>0.5</v>
      </c>
      <c r="F1207" s="309" t="s">
        <v>10</v>
      </c>
      <c r="G1207" s="304">
        <v>1</v>
      </c>
      <c r="H1207" s="309" t="s">
        <v>10</v>
      </c>
      <c r="I1207" s="298">
        <v>650</v>
      </c>
      <c r="J1207" s="295">
        <f>SUM(E1207*I1207/G1207)</f>
        <v>325</v>
      </c>
    </row>
    <row r="1208" spans="1:10">
      <c r="A1208" s="323"/>
      <c r="B1208" s="286"/>
      <c r="C1208" s="287"/>
      <c r="D1208" s="300" t="s">
        <v>179</v>
      </c>
      <c r="E1208" s="292"/>
      <c r="F1208" s="297"/>
      <c r="G1208" s="293"/>
      <c r="H1208" s="297"/>
      <c r="I1208" s="294"/>
      <c r="J1208" s="295">
        <f>SUM(J1206:J1207)</f>
        <v>712.5</v>
      </c>
    </row>
    <row r="1209" spans="1:10">
      <c r="A1209" s="323"/>
      <c r="B1209" s="286"/>
      <c r="C1209" s="287"/>
      <c r="D1209" s="301" t="s">
        <v>43</v>
      </c>
      <c r="E1209" s="302"/>
      <c r="F1209" s="286"/>
      <c r="G1209" s="293"/>
      <c r="H1209" s="286"/>
      <c r="I1209" s="294"/>
      <c r="J1209" s="295">
        <f>J1208*0.4</f>
        <v>285</v>
      </c>
    </row>
    <row r="1210" spans="1:10">
      <c r="A1210" s="323"/>
      <c r="B1210" s="286"/>
      <c r="C1210" s="287"/>
      <c r="D1210" s="301" t="s">
        <v>44</v>
      </c>
      <c r="E1210" s="302"/>
      <c r="F1210" s="286"/>
      <c r="G1210" s="293"/>
      <c r="H1210" s="286"/>
      <c r="I1210" s="294"/>
      <c r="J1210" s="295">
        <f>SUM(J1208:J1209)</f>
        <v>997.5</v>
      </c>
    </row>
    <row r="1211" spans="1:10">
      <c r="A1211" s="17"/>
      <c r="B1211" s="43"/>
      <c r="C1211" s="122"/>
      <c r="D1211" s="44" t="s">
        <v>18</v>
      </c>
      <c r="E1211" s="43"/>
      <c r="F1211" s="48"/>
      <c r="G1211" s="49"/>
      <c r="H1211" s="48"/>
      <c r="I1211" s="43"/>
      <c r="J1211" s="35"/>
    </row>
    <row r="1212" spans="1:10" ht="38.25">
      <c r="A1212" s="17"/>
      <c r="B1212" s="43" t="s">
        <v>282</v>
      </c>
      <c r="C1212" s="124">
        <v>1</v>
      </c>
      <c r="D1212" s="27" t="s">
        <v>531</v>
      </c>
      <c r="E1212" s="43">
        <v>1</v>
      </c>
      <c r="F1212" s="29" t="s">
        <v>24</v>
      </c>
      <c r="G1212" s="49">
        <v>1</v>
      </c>
      <c r="H1212" s="29" t="s">
        <v>24</v>
      </c>
      <c r="I1212" s="24">
        <v>21000</v>
      </c>
      <c r="J1212" s="35">
        <f>SUM(E1212*I1212/G1212)</f>
        <v>21000</v>
      </c>
    </row>
    <row r="1213" spans="1:10" ht="63.75">
      <c r="A1213" s="17"/>
      <c r="B1213" s="43"/>
      <c r="C1213" s="124"/>
      <c r="D1213" s="27" t="s">
        <v>532</v>
      </c>
      <c r="E1213" s="43">
        <v>1</v>
      </c>
      <c r="F1213" s="29" t="s">
        <v>24</v>
      </c>
      <c r="G1213" s="49">
        <v>1</v>
      </c>
      <c r="H1213" s="29" t="s">
        <v>24</v>
      </c>
      <c r="I1213" s="24">
        <v>2400</v>
      </c>
      <c r="J1213" s="35">
        <f>SUM(E1213*I1213/G1213)</f>
        <v>2400</v>
      </c>
    </row>
    <row r="1214" spans="1:10">
      <c r="A1214" s="17"/>
      <c r="B1214" s="43"/>
      <c r="C1214" s="30"/>
      <c r="D1214" s="45" t="s">
        <v>181</v>
      </c>
      <c r="E1214" s="43"/>
      <c r="F1214" s="29"/>
      <c r="G1214" s="49"/>
      <c r="H1214" s="29"/>
      <c r="I1214" s="47"/>
      <c r="J1214" s="21">
        <f>SUM(J1212:J1213)</f>
        <v>23400</v>
      </c>
    </row>
    <row r="1215" spans="1:10">
      <c r="A1215" s="17"/>
      <c r="B1215" s="63"/>
      <c r="C1215" s="64"/>
      <c r="D1215" s="18" t="s">
        <v>36</v>
      </c>
      <c r="E1215" s="43"/>
      <c r="F1215" s="29"/>
      <c r="G1215" s="49"/>
      <c r="H1215" s="29"/>
      <c r="I1215" s="62"/>
      <c r="J1215" s="21">
        <f>J1214*10.615%</f>
        <v>2483.9100000000003</v>
      </c>
    </row>
    <row r="1216" spans="1:10">
      <c r="A1216" s="17"/>
      <c r="B1216" s="63"/>
      <c r="C1216" s="64"/>
      <c r="D1216" s="45" t="s">
        <v>275</v>
      </c>
      <c r="E1216" s="43"/>
      <c r="F1216" s="29"/>
      <c r="G1216" s="49"/>
      <c r="H1216" s="29"/>
      <c r="I1216" s="62"/>
      <c r="J1216" s="21">
        <f>SUM(J1214:J1215)</f>
        <v>25883.91</v>
      </c>
    </row>
    <row r="1217" spans="1:10">
      <c r="A1217" s="17"/>
      <c r="B1217" s="63"/>
      <c r="C1217" s="64"/>
      <c r="D1217" s="18" t="s">
        <v>182</v>
      </c>
      <c r="E1217" s="24"/>
      <c r="F1217" s="25"/>
      <c r="G1217" s="26"/>
      <c r="H1217" s="25"/>
      <c r="I1217" s="20"/>
      <c r="J1217" s="21">
        <f>ROUND(J1216,0)</f>
        <v>25884</v>
      </c>
    </row>
    <row r="1218" spans="1:10">
      <c r="A1218" s="38"/>
      <c r="B1218" s="39"/>
      <c r="C1218" s="40"/>
      <c r="D1218" s="4" t="s">
        <v>533</v>
      </c>
      <c r="E1218" s="41"/>
      <c r="F1218" s="41"/>
      <c r="G1218" s="41"/>
      <c r="H1218" s="41"/>
      <c r="I1218" s="41"/>
      <c r="J1218" s="42"/>
    </row>
    <row r="1219" spans="1:10">
      <c r="A1219" s="17"/>
      <c r="B1219" s="29"/>
      <c r="C1219" s="30"/>
      <c r="D1219" s="341" t="s">
        <v>378</v>
      </c>
      <c r="E1219" s="43"/>
      <c r="F1219" s="29"/>
      <c r="G1219" s="49"/>
      <c r="H1219" s="29"/>
      <c r="I1219" s="43"/>
      <c r="J1219" s="63"/>
    </row>
    <row r="1220" spans="1:10" ht="38.25">
      <c r="A1220" s="342"/>
      <c r="B1220" s="343" t="s">
        <v>534</v>
      </c>
      <c r="C1220" s="344"/>
      <c r="D1220" s="8" t="s">
        <v>535</v>
      </c>
      <c r="E1220" s="8"/>
      <c r="F1220" s="8"/>
      <c r="G1220" s="8"/>
      <c r="H1220" s="8"/>
      <c r="I1220" s="8"/>
      <c r="J1220" s="345"/>
    </row>
    <row r="1221" spans="1:10" ht="25.5">
      <c r="A1221" s="17"/>
      <c r="B1221" s="29"/>
      <c r="C1221" s="30"/>
      <c r="D1221" s="45" t="s">
        <v>4</v>
      </c>
      <c r="E1221" s="24" t="s">
        <v>5</v>
      </c>
      <c r="F1221" s="24"/>
      <c r="G1221" s="26" t="s">
        <v>6</v>
      </c>
      <c r="H1221" s="26"/>
      <c r="I1221" s="20" t="s">
        <v>7</v>
      </c>
      <c r="J1221" s="21" t="s">
        <v>8</v>
      </c>
    </row>
    <row r="1222" spans="1:10">
      <c r="A1222" s="17"/>
      <c r="B1222" s="29"/>
      <c r="C1222" s="30">
        <v>1</v>
      </c>
      <c r="D1222" s="23" t="s">
        <v>536</v>
      </c>
      <c r="E1222" s="24">
        <v>0.05</v>
      </c>
      <c r="F1222" s="48" t="s">
        <v>10</v>
      </c>
      <c r="G1222" s="49">
        <v>1</v>
      </c>
      <c r="H1222" s="48" t="s">
        <v>10</v>
      </c>
      <c r="I1222" s="47">
        <v>735</v>
      </c>
      <c r="J1222" s="21">
        <v>36.75</v>
      </c>
    </row>
    <row r="1223" spans="1:10">
      <c r="A1223" s="17"/>
      <c r="B1223" s="29"/>
      <c r="C1223" s="30">
        <v>2</v>
      </c>
      <c r="D1223" s="27" t="s">
        <v>537</v>
      </c>
      <c r="E1223" s="24">
        <v>0.05</v>
      </c>
      <c r="F1223" s="25" t="s">
        <v>10</v>
      </c>
      <c r="G1223" s="26">
        <v>1</v>
      </c>
      <c r="H1223" s="25" t="s">
        <v>10</v>
      </c>
      <c r="I1223" s="20">
        <v>615</v>
      </c>
      <c r="J1223" s="21">
        <v>30.75</v>
      </c>
    </row>
    <row r="1224" spans="1:10">
      <c r="A1224" s="17"/>
      <c r="B1224" s="29"/>
      <c r="C1224" s="30"/>
      <c r="D1224" s="45" t="s">
        <v>179</v>
      </c>
      <c r="E1224" s="43"/>
      <c r="F1224" s="48"/>
      <c r="G1224" s="49"/>
      <c r="H1224" s="48"/>
      <c r="I1224" s="47"/>
      <c r="J1224" s="21">
        <v>67.5</v>
      </c>
    </row>
    <row r="1225" spans="1:10">
      <c r="A1225" s="17"/>
      <c r="B1225" s="29"/>
      <c r="C1225" s="30"/>
      <c r="D1225" s="44" t="s">
        <v>43</v>
      </c>
      <c r="E1225" s="50"/>
      <c r="F1225" s="29"/>
      <c r="G1225" s="49"/>
      <c r="H1225" s="29"/>
      <c r="I1225" s="47"/>
      <c r="J1225" s="21">
        <v>27</v>
      </c>
    </row>
    <row r="1226" spans="1:10">
      <c r="A1226" s="17"/>
      <c r="B1226" s="29"/>
      <c r="C1226" s="30"/>
      <c r="D1226" s="44" t="s">
        <v>44</v>
      </c>
      <c r="E1226" s="50"/>
      <c r="F1226" s="29"/>
      <c r="G1226" s="49"/>
      <c r="H1226" s="29"/>
      <c r="I1226" s="47"/>
      <c r="J1226" s="21">
        <v>94.5</v>
      </c>
    </row>
    <row r="1227" spans="1:10">
      <c r="A1227" s="17"/>
      <c r="B1227" s="29"/>
      <c r="C1227" s="30"/>
      <c r="D1227" s="45" t="s">
        <v>18</v>
      </c>
      <c r="E1227" s="43"/>
      <c r="F1227" s="48"/>
      <c r="G1227" s="49"/>
      <c r="H1227" s="48"/>
      <c r="I1227" s="47"/>
      <c r="J1227" s="21"/>
    </row>
    <row r="1228" spans="1:10" ht="38.25">
      <c r="A1228" s="17"/>
      <c r="B1228" s="29" t="s">
        <v>538</v>
      </c>
      <c r="C1228" s="30">
        <v>3</v>
      </c>
      <c r="D1228" s="54" t="s">
        <v>539</v>
      </c>
      <c r="E1228" s="43">
        <v>5</v>
      </c>
      <c r="F1228" s="29" t="s">
        <v>64</v>
      </c>
      <c r="G1228" s="49">
        <v>5</v>
      </c>
      <c r="H1228" s="29" t="s">
        <v>64</v>
      </c>
      <c r="I1228" s="47">
        <v>1375</v>
      </c>
      <c r="J1228" s="21">
        <v>1375</v>
      </c>
    </row>
    <row r="1229" spans="1:10">
      <c r="A1229" s="17"/>
      <c r="B1229" s="29"/>
      <c r="C1229" s="30"/>
      <c r="D1229" s="45" t="s">
        <v>181</v>
      </c>
      <c r="E1229" s="43"/>
      <c r="F1229" s="29"/>
      <c r="G1229" s="49"/>
      <c r="H1229" s="29"/>
      <c r="I1229" s="47"/>
      <c r="J1229" s="21">
        <v>1375</v>
      </c>
    </row>
    <row r="1230" spans="1:10">
      <c r="A1230" s="17"/>
      <c r="B1230" s="29"/>
      <c r="C1230" s="30"/>
      <c r="D1230" s="45" t="s">
        <v>35</v>
      </c>
      <c r="E1230" s="43"/>
      <c r="F1230" s="29"/>
      <c r="G1230" s="49"/>
      <c r="H1230" s="29"/>
      <c r="I1230" s="62"/>
      <c r="J1230" s="21">
        <v>1469.5</v>
      </c>
    </row>
    <row r="1231" spans="1:10">
      <c r="A1231" s="17"/>
      <c r="B1231" s="17"/>
      <c r="C1231" s="31"/>
      <c r="D1231" s="18" t="s">
        <v>182</v>
      </c>
      <c r="E1231" s="24"/>
      <c r="F1231" s="25"/>
      <c r="G1231" s="26"/>
      <c r="H1231" s="25"/>
      <c r="I1231" s="20"/>
      <c r="J1231" s="21">
        <v>1470</v>
      </c>
    </row>
    <row r="1232" spans="1:10">
      <c r="A1232" s="346"/>
      <c r="B1232" s="347"/>
      <c r="C1232" s="348"/>
      <c r="D1232" s="349" t="s">
        <v>540</v>
      </c>
      <c r="E1232" s="350"/>
      <c r="F1232" s="350"/>
      <c r="G1232" s="350"/>
      <c r="H1232" s="350"/>
      <c r="I1232" s="350"/>
      <c r="J1232" s="351"/>
    </row>
    <row r="1233" spans="1:10">
      <c r="A1233" s="17"/>
      <c r="B1233" s="107"/>
      <c r="C1233" s="104"/>
      <c r="D1233" s="341" t="s">
        <v>378</v>
      </c>
      <c r="E1233" s="104"/>
      <c r="F1233" s="104"/>
      <c r="G1233" s="104"/>
      <c r="H1233" s="104"/>
      <c r="I1233" s="103"/>
      <c r="J1233" s="35"/>
    </row>
    <row r="1234" spans="1:10" ht="76.5">
      <c r="A1234" s="17"/>
      <c r="B1234" s="24" t="s">
        <v>40</v>
      </c>
      <c r="C1234" s="20"/>
      <c r="D1234" s="105" t="s">
        <v>541</v>
      </c>
      <c r="E1234" s="105"/>
      <c r="F1234" s="105"/>
      <c r="G1234" s="105"/>
      <c r="H1234" s="105"/>
      <c r="I1234" s="105"/>
      <c r="J1234" s="106"/>
    </row>
    <row r="1235" spans="1:10" ht="51">
      <c r="A1235" s="17"/>
      <c r="B1235" s="107"/>
      <c r="C1235" s="104"/>
      <c r="D1235" s="105" t="s">
        <v>542</v>
      </c>
      <c r="E1235" s="105"/>
      <c r="F1235" s="105"/>
      <c r="G1235" s="105"/>
      <c r="H1235" s="105"/>
      <c r="I1235" s="105"/>
      <c r="J1235" s="106"/>
    </row>
    <row r="1236" spans="1:10" ht="25.5">
      <c r="A1236" s="17"/>
      <c r="B1236" s="107"/>
      <c r="C1236" s="104"/>
      <c r="D1236" s="59" t="s">
        <v>4</v>
      </c>
      <c r="E1236" s="24" t="s">
        <v>5</v>
      </c>
      <c r="F1236" s="24"/>
      <c r="G1236" s="26" t="s">
        <v>6</v>
      </c>
      <c r="H1236" s="26"/>
      <c r="I1236" s="20" t="s">
        <v>7</v>
      </c>
      <c r="J1236" s="21" t="s">
        <v>8</v>
      </c>
    </row>
    <row r="1237" spans="1:10">
      <c r="A1237" s="17"/>
      <c r="B1237" s="107"/>
      <c r="C1237" s="22">
        <v>1</v>
      </c>
      <c r="D1237" s="23" t="s">
        <v>536</v>
      </c>
      <c r="E1237" s="103">
        <v>1</v>
      </c>
      <c r="F1237" s="352" t="s">
        <v>10</v>
      </c>
      <c r="G1237" s="88">
        <v>1</v>
      </c>
      <c r="H1237" s="352" t="s">
        <v>10</v>
      </c>
      <c r="I1237" s="20">
        <v>735</v>
      </c>
      <c r="J1237" s="21">
        <f>SUM(E1237*I1237/G1237)</f>
        <v>735</v>
      </c>
    </row>
    <row r="1238" spans="1:10" ht="25.5">
      <c r="A1238" s="17"/>
      <c r="B1238" s="107"/>
      <c r="C1238" s="22">
        <v>2</v>
      </c>
      <c r="D1238" s="27" t="s">
        <v>543</v>
      </c>
      <c r="E1238" s="103">
        <v>1</v>
      </c>
      <c r="F1238" s="352" t="s">
        <v>10</v>
      </c>
      <c r="G1238" s="88">
        <v>1</v>
      </c>
      <c r="H1238" s="352" t="s">
        <v>10</v>
      </c>
      <c r="I1238" s="20">
        <v>615</v>
      </c>
      <c r="J1238" s="21">
        <f>SUM(E1238*I1238/G1238)</f>
        <v>615</v>
      </c>
    </row>
    <row r="1239" spans="1:10">
      <c r="A1239" s="17"/>
      <c r="B1239" s="107"/>
      <c r="C1239" s="22">
        <v>3</v>
      </c>
      <c r="D1239" s="27" t="s">
        <v>537</v>
      </c>
      <c r="E1239" s="103">
        <v>1</v>
      </c>
      <c r="F1239" s="352" t="s">
        <v>10</v>
      </c>
      <c r="G1239" s="88">
        <v>1</v>
      </c>
      <c r="H1239" s="352" t="s">
        <v>10</v>
      </c>
      <c r="I1239" s="20">
        <v>615</v>
      </c>
      <c r="J1239" s="21">
        <f>SUM(E1239*I1239/G1239)</f>
        <v>615</v>
      </c>
    </row>
    <row r="1240" spans="1:10">
      <c r="A1240" s="17"/>
      <c r="B1240" s="107"/>
      <c r="C1240" s="104"/>
      <c r="D1240" s="66" t="s">
        <v>14</v>
      </c>
      <c r="E1240" s="103"/>
      <c r="F1240" s="107"/>
      <c r="G1240" s="88"/>
      <c r="H1240" s="107"/>
      <c r="I1240" s="20"/>
      <c r="J1240" s="21">
        <f>SUM(J1237:J1239)</f>
        <v>1965</v>
      </c>
    </row>
    <row r="1241" spans="1:10">
      <c r="A1241" s="17"/>
      <c r="B1241" s="107"/>
      <c r="C1241" s="104"/>
      <c r="D1241" s="66" t="s">
        <v>15</v>
      </c>
      <c r="E1241" s="353"/>
      <c r="F1241" s="107"/>
      <c r="G1241" s="88"/>
      <c r="H1241" s="107"/>
      <c r="I1241" s="60"/>
      <c r="J1241" s="21">
        <f>SUM(J1240/100)</f>
        <v>19.649999999999999</v>
      </c>
    </row>
    <row r="1242" spans="1:10">
      <c r="A1242" s="17"/>
      <c r="B1242" s="107"/>
      <c r="C1242" s="104"/>
      <c r="D1242" s="66" t="s">
        <v>43</v>
      </c>
      <c r="E1242" s="353"/>
      <c r="F1242" s="107"/>
      <c r="G1242" s="88"/>
      <c r="H1242" s="107"/>
      <c r="I1242" s="60"/>
      <c r="J1242" s="21">
        <f>J1241*0.4</f>
        <v>7.8599999999999994</v>
      </c>
    </row>
    <row r="1243" spans="1:10">
      <c r="A1243" s="17"/>
      <c r="B1243" s="107"/>
      <c r="C1243" s="104"/>
      <c r="D1243" s="66" t="s">
        <v>44</v>
      </c>
      <c r="E1243" s="353"/>
      <c r="F1243" s="107"/>
      <c r="G1243" s="88"/>
      <c r="H1243" s="107"/>
      <c r="I1243" s="60"/>
      <c r="J1243" s="21">
        <f>SUM(J1241:J1242)</f>
        <v>27.509999999999998</v>
      </c>
    </row>
    <row r="1244" spans="1:10">
      <c r="A1244" s="17"/>
      <c r="B1244" s="107"/>
      <c r="C1244" s="104"/>
      <c r="D1244" s="59" t="s">
        <v>18</v>
      </c>
      <c r="E1244" s="103"/>
      <c r="F1244" s="107"/>
      <c r="G1244" s="88"/>
      <c r="H1244" s="107"/>
      <c r="I1244" s="60"/>
      <c r="J1244" s="21"/>
    </row>
    <row r="1245" spans="1:10" ht="25.5">
      <c r="A1245" s="17"/>
      <c r="B1245" s="51" t="s">
        <v>45</v>
      </c>
      <c r="C1245" s="104">
        <v>4</v>
      </c>
      <c r="D1245" s="59" t="s">
        <v>544</v>
      </c>
      <c r="E1245" s="103">
        <v>200</v>
      </c>
      <c r="F1245" s="352" t="s">
        <v>24</v>
      </c>
      <c r="G1245" s="88">
        <v>100</v>
      </c>
      <c r="H1245" s="352" t="s">
        <v>24</v>
      </c>
      <c r="I1245" s="60">
        <v>45</v>
      </c>
      <c r="J1245" s="21">
        <f>SUM(E1245*I1245/G1245)</f>
        <v>90</v>
      </c>
    </row>
    <row r="1246" spans="1:10" ht="24">
      <c r="A1246" s="17"/>
      <c r="B1246" s="52" t="s">
        <v>47</v>
      </c>
      <c r="C1246" s="104">
        <v>5</v>
      </c>
      <c r="D1246" s="354" t="s">
        <v>545</v>
      </c>
      <c r="E1246" s="103">
        <v>200</v>
      </c>
      <c r="F1246" s="352" t="s">
        <v>24</v>
      </c>
      <c r="G1246" s="88">
        <v>100</v>
      </c>
      <c r="H1246" s="352" t="s">
        <v>24</v>
      </c>
      <c r="I1246" s="60">
        <v>135</v>
      </c>
      <c r="J1246" s="21">
        <f>SUM(E1246*I1246/G1246)</f>
        <v>270</v>
      </c>
    </row>
    <row r="1247" spans="1:10" ht="76.5">
      <c r="A1247" s="17"/>
      <c r="B1247" s="51" t="s">
        <v>546</v>
      </c>
      <c r="C1247" s="104">
        <v>10</v>
      </c>
      <c r="D1247" s="59" t="str">
        <f>D1234</f>
        <v>Replacement of old damaged by new supply of  25mm x 12 mm and thickness 1.2 mm width  and height Casing and  Caping  with  all  accessories  such  as  Ts, Bends, Elbows etc., complete for finished item of                                                                work.
Makes : Modi with ISI or its equivalent make as approved by the department</v>
      </c>
      <c r="E1247" s="103">
        <v>100</v>
      </c>
      <c r="F1247" s="352" t="s">
        <v>32</v>
      </c>
      <c r="G1247" s="88">
        <v>1</v>
      </c>
      <c r="H1247" s="352" t="s">
        <v>32</v>
      </c>
      <c r="I1247" s="60">
        <v>32</v>
      </c>
      <c r="J1247" s="21">
        <f>SUM(E1247*I1247/G1247)</f>
        <v>3200</v>
      </c>
    </row>
    <row r="1248" spans="1:10">
      <c r="A1248" s="17"/>
      <c r="B1248" s="17"/>
      <c r="C1248" s="31"/>
      <c r="D1248" s="13" t="s">
        <v>33</v>
      </c>
      <c r="E1248" s="24"/>
      <c r="F1248" s="25"/>
      <c r="G1248" s="26"/>
      <c r="H1248" s="25"/>
      <c r="I1248" s="20"/>
      <c r="J1248" s="21">
        <f>SUM(J1245:J1247)</f>
        <v>3560</v>
      </c>
    </row>
    <row r="1249" spans="1:10">
      <c r="A1249" s="17"/>
      <c r="B1249" s="17"/>
      <c r="C1249" s="31"/>
      <c r="D1249" s="13" t="s">
        <v>34</v>
      </c>
      <c r="E1249" s="24"/>
      <c r="F1249" s="25"/>
      <c r="G1249" s="26"/>
      <c r="H1249" s="25"/>
      <c r="I1249" s="20"/>
      <c r="J1249" s="21">
        <f>SUM(J1248/100)</f>
        <v>35.6</v>
      </c>
    </row>
    <row r="1250" spans="1:10">
      <c r="A1250" s="17"/>
      <c r="B1250" s="17"/>
      <c r="C1250" s="31"/>
      <c r="D1250" s="18" t="s">
        <v>35</v>
      </c>
      <c r="E1250" s="24"/>
      <c r="F1250" s="25"/>
      <c r="G1250" s="26"/>
      <c r="H1250" s="25"/>
      <c r="I1250" s="20"/>
      <c r="J1250" s="21">
        <f>J1249+J1243</f>
        <v>63.11</v>
      </c>
    </row>
    <row r="1251" spans="1:10">
      <c r="A1251" s="17"/>
      <c r="B1251" s="107"/>
      <c r="C1251" s="104"/>
      <c r="D1251" s="18" t="s">
        <v>36</v>
      </c>
      <c r="E1251" s="24"/>
      <c r="F1251" s="25"/>
      <c r="G1251" s="26"/>
      <c r="H1251" s="25"/>
      <c r="I1251" s="20"/>
      <c r="J1251" s="36">
        <f>(J1250)*0.10615</f>
        <v>6.6991264999999993</v>
      </c>
    </row>
    <row r="1252" spans="1:10">
      <c r="A1252" s="17"/>
      <c r="B1252" s="107"/>
      <c r="C1252" s="104"/>
      <c r="D1252" s="18" t="s">
        <v>37</v>
      </c>
      <c r="E1252" s="24"/>
      <c r="F1252" s="25"/>
      <c r="G1252" s="26"/>
      <c r="H1252" s="25"/>
      <c r="I1252" s="20"/>
      <c r="J1252" s="36">
        <f>SUM(J1250:J1251)</f>
        <v>69.809126500000005</v>
      </c>
    </row>
    <row r="1253" spans="1:10">
      <c r="A1253" s="17"/>
      <c r="B1253" s="107"/>
      <c r="C1253" s="104"/>
      <c r="D1253" s="18" t="s">
        <v>38</v>
      </c>
      <c r="E1253" s="24"/>
      <c r="F1253" s="25"/>
      <c r="G1253" s="26"/>
      <c r="H1253" s="25"/>
      <c r="I1253" s="20"/>
      <c r="J1253" s="37">
        <f>ROUND(J1252,0)</f>
        <v>70</v>
      </c>
    </row>
    <row r="1254" spans="1:10" ht="18.75">
      <c r="A1254" s="355"/>
      <c r="B1254" s="356"/>
      <c r="C1254" s="357"/>
      <c r="D1254" s="349" t="s">
        <v>547</v>
      </c>
      <c r="E1254" s="358"/>
      <c r="F1254" s="358"/>
      <c r="G1254" s="358"/>
      <c r="H1254" s="358"/>
      <c r="I1254" s="358"/>
      <c r="J1254" s="359"/>
    </row>
    <row r="1255" spans="1:10">
      <c r="A1255" s="360"/>
      <c r="B1255" s="361"/>
      <c r="C1255" s="362"/>
      <c r="D1255" s="341" t="s">
        <v>1</v>
      </c>
      <c r="E1255" s="363"/>
      <c r="F1255" s="363"/>
      <c r="G1255" s="364"/>
      <c r="H1255" s="365"/>
      <c r="I1255" s="365"/>
      <c r="J1255" s="366"/>
    </row>
    <row r="1256" spans="1:10" ht="204">
      <c r="A1256" s="17"/>
      <c r="B1256" s="24"/>
      <c r="C1256" s="20"/>
      <c r="D1256" s="105" t="s">
        <v>548</v>
      </c>
      <c r="E1256" s="105"/>
      <c r="F1256" s="105"/>
      <c r="G1256" s="105"/>
      <c r="H1256" s="105"/>
      <c r="I1256" s="105"/>
      <c r="J1256" s="106"/>
    </row>
    <row r="1257" spans="1:10">
      <c r="A1257" s="17"/>
      <c r="B1257" s="107"/>
      <c r="C1257" s="104"/>
      <c r="D1257" s="105" t="s">
        <v>549</v>
      </c>
      <c r="E1257" s="105"/>
      <c r="F1257" s="105"/>
      <c r="G1257" s="105"/>
      <c r="H1257" s="105"/>
      <c r="I1257" s="105"/>
      <c r="J1257" s="106"/>
    </row>
    <row r="1258" spans="1:10" ht="63.75">
      <c r="A1258" s="17"/>
      <c r="B1258" s="107" t="s">
        <v>550</v>
      </c>
      <c r="C1258" s="104">
        <v>1</v>
      </c>
      <c r="D1258" s="59" t="s">
        <v>551</v>
      </c>
      <c r="E1258" s="24">
        <v>1</v>
      </c>
      <c r="F1258" s="24" t="s">
        <v>552</v>
      </c>
      <c r="G1258" s="26">
        <v>41470</v>
      </c>
      <c r="H1258" s="26">
        <v>1</v>
      </c>
      <c r="I1258" s="20" t="s">
        <v>222</v>
      </c>
      <c r="J1258" s="21">
        <f>E1258*G1258*H1258</f>
        <v>41470</v>
      </c>
    </row>
    <row r="1259" spans="1:10" ht="25.5">
      <c r="A1259" s="17"/>
      <c r="B1259" s="26" t="s">
        <v>553</v>
      </c>
      <c r="C1259" s="104">
        <v>2</v>
      </c>
      <c r="D1259" s="23" t="s">
        <v>554</v>
      </c>
      <c r="E1259" s="103">
        <v>1</v>
      </c>
      <c r="F1259" s="352" t="s">
        <v>555</v>
      </c>
      <c r="G1259" s="88">
        <v>1700</v>
      </c>
      <c r="H1259" s="352">
        <v>1</v>
      </c>
      <c r="I1259" s="20" t="s">
        <v>222</v>
      </c>
      <c r="J1259" s="21">
        <f>E1259*G1259*H1259</f>
        <v>1700</v>
      </c>
    </row>
    <row r="1260" spans="1:10" ht="25.5">
      <c r="A1260" s="17"/>
      <c r="B1260" s="26" t="s">
        <v>556</v>
      </c>
      <c r="C1260" s="104">
        <v>3</v>
      </c>
      <c r="D1260" s="27" t="s">
        <v>557</v>
      </c>
      <c r="E1260" s="103">
        <v>1</v>
      </c>
      <c r="F1260" s="352" t="s">
        <v>555</v>
      </c>
      <c r="G1260" s="88">
        <v>2600</v>
      </c>
      <c r="H1260" s="352">
        <v>1</v>
      </c>
      <c r="I1260" s="20" t="s">
        <v>222</v>
      </c>
      <c r="J1260" s="21">
        <f>E1260*G1260*H1260</f>
        <v>2600</v>
      </c>
    </row>
    <row r="1261" spans="1:10" ht="38.25">
      <c r="A1261" s="17"/>
      <c r="B1261" s="26" t="s">
        <v>558</v>
      </c>
      <c r="C1261" s="104">
        <v>4</v>
      </c>
      <c r="D1261" s="27" t="s">
        <v>559</v>
      </c>
      <c r="E1261" s="103">
        <v>1</v>
      </c>
      <c r="F1261" s="352" t="s">
        <v>552</v>
      </c>
      <c r="G1261" s="88">
        <v>2425</v>
      </c>
      <c r="H1261" s="352">
        <v>1</v>
      </c>
      <c r="I1261" s="20" t="s">
        <v>222</v>
      </c>
      <c r="J1261" s="21">
        <f t="shared" ref="J1261:J1265" si="8">E1261*G1261*H1261</f>
        <v>2425</v>
      </c>
    </row>
    <row r="1262" spans="1:10" ht="38.25">
      <c r="A1262" s="17"/>
      <c r="B1262" s="107" t="s">
        <v>560</v>
      </c>
      <c r="C1262" s="104">
        <v>5</v>
      </c>
      <c r="D1262" s="66" t="s">
        <v>561</v>
      </c>
      <c r="E1262" s="103">
        <v>1</v>
      </c>
      <c r="F1262" s="107" t="s">
        <v>552</v>
      </c>
      <c r="G1262" s="88">
        <v>2425</v>
      </c>
      <c r="H1262" s="107">
        <v>1</v>
      </c>
      <c r="I1262" s="20" t="s">
        <v>222</v>
      </c>
      <c r="J1262" s="21">
        <f t="shared" si="8"/>
        <v>2425</v>
      </c>
    </row>
    <row r="1263" spans="1:10" ht="25.5">
      <c r="A1263" s="17"/>
      <c r="B1263" s="107" t="s">
        <v>562</v>
      </c>
      <c r="C1263" s="104">
        <v>6</v>
      </c>
      <c r="D1263" s="66" t="s">
        <v>563</v>
      </c>
      <c r="E1263" s="353">
        <v>2</v>
      </c>
      <c r="F1263" s="107" t="s">
        <v>552</v>
      </c>
      <c r="G1263" s="88">
        <v>90</v>
      </c>
      <c r="H1263" s="107">
        <v>1</v>
      </c>
      <c r="I1263" s="60" t="s">
        <v>222</v>
      </c>
      <c r="J1263" s="21">
        <f t="shared" si="8"/>
        <v>180</v>
      </c>
    </row>
    <row r="1264" spans="1:10" ht="25.5">
      <c r="A1264" s="17"/>
      <c r="B1264" s="107" t="s">
        <v>497</v>
      </c>
      <c r="C1264" s="104">
        <v>7</v>
      </c>
      <c r="D1264" s="66" t="s">
        <v>564</v>
      </c>
      <c r="E1264" s="353">
        <v>6</v>
      </c>
      <c r="F1264" s="107" t="s">
        <v>552</v>
      </c>
      <c r="G1264" s="88">
        <v>165</v>
      </c>
      <c r="H1264" s="107">
        <v>1</v>
      </c>
      <c r="I1264" s="60" t="s">
        <v>222</v>
      </c>
      <c r="J1264" s="21">
        <f t="shared" si="8"/>
        <v>990</v>
      </c>
    </row>
    <row r="1265" spans="1:10" ht="38.25">
      <c r="A1265" s="17"/>
      <c r="B1265" s="107" t="s">
        <v>565</v>
      </c>
      <c r="C1265" s="104">
        <v>8</v>
      </c>
      <c r="D1265" s="66" t="s">
        <v>566</v>
      </c>
      <c r="E1265" s="353">
        <v>3</v>
      </c>
      <c r="F1265" s="107" t="s">
        <v>552</v>
      </c>
      <c r="G1265" s="88">
        <v>530</v>
      </c>
      <c r="H1265" s="107">
        <v>1</v>
      </c>
      <c r="I1265" s="60" t="s">
        <v>222</v>
      </c>
      <c r="J1265" s="21">
        <f t="shared" si="8"/>
        <v>1590</v>
      </c>
    </row>
    <row r="1266" spans="1:10" ht="51">
      <c r="A1266" s="17"/>
      <c r="B1266" s="107" t="s">
        <v>567</v>
      </c>
      <c r="C1266" s="104">
        <v>9</v>
      </c>
      <c r="D1266" s="59" t="s">
        <v>568</v>
      </c>
      <c r="E1266" s="103">
        <v>4</v>
      </c>
      <c r="F1266" s="107" t="s">
        <v>552</v>
      </c>
      <c r="G1266" s="88">
        <v>325</v>
      </c>
      <c r="H1266" s="107">
        <v>1</v>
      </c>
      <c r="I1266" s="60" t="s">
        <v>222</v>
      </c>
      <c r="J1266" s="21">
        <f>E1266*G1266*H1266</f>
        <v>1300</v>
      </c>
    </row>
    <row r="1267" spans="1:10">
      <c r="A1267" s="17"/>
      <c r="B1267" s="107"/>
      <c r="C1267" s="367"/>
      <c r="D1267" s="59" t="s">
        <v>569</v>
      </c>
      <c r="E1267" s="103"/>
      <c r="F1267" s="352"/>
      <c r="G1267" s="88"/>
      <c r="H1267" s="352"/>
      <c r="I1267" s="60"/>
      <c r="J1267" s="21"/>
    </row>
    <row r="1268" spans="1:10" ht="25.5">
      <c r="A1268" s="17"/>
      <c r="B1268" s="107" t="s">
        <v>570</v>
      </c>
      <c r="C1268" s="368">
        <v>10</v>
      </c>
      <c r="D1268" s="354" t="s">
        <v>571</v>
      </c>
      <c r="E1268" s="103">
        <v>10</v>
      </c>
      <c r="F1268" s="352" t="s">
        <v>552</v>
      </c>
      <c r="G1268" s="88">
        <v>11380</v>
      </c>
      <c r="H1268" s="352">
        <v>1</v>
      </c>
      <c r="I1268" s="60" t="s">
        <v>222</v>
      </c>
      <c r="J1268" s="21">
        <f>E1268*G1268*H1268</f>
        <v>113800</v>
      </c>
    </row>
    <row r="1269" spans="1:10" ht="25.5">
      <c r="A1269" s="17"/>
      <c r="B1269" s="107" t="s">
        <v>572</v>
      </c>
      <c r="C1269" s="367">
        <v>11</v>
      </c>
      <c r="D1269" s="59" t="s">
        <v>573</v>
      </c>
      <c r="E1269" s="103">
        <v>10</v>
      </c>
      <c r="F1269" s="352" t="s">
        <v>555</v>
      </c>
      <c r="G1269" s="88">
        <v>270</v>
      </c>
      <c r="H1269" s="352">
        <v>1</v>
      </c>
      <c r="I1269" s="60" t="s">
        <v>222</v>
      </c>
      <c r="J1269" s="21">
        <f>E1269*G1269*H1269</f>
        <v>2700</v>
      </c>
    </row>
    <row r="1270" spans="1:10" ht="25.5">
      <c r="A1270" s="17"/>
      <c r="B1270" s="24" t="s">
        <v>574</v>
      </c>
      <c r="C1270" s="22">
        <v>12</v>
      </c>
      <c r="D1270" s="105" t="s">
        <v>575</v>
      </c>
      <c r="E1270" s="105">
        <v>10</v>
      </c>
      <c r="F1270" s="105" t="s">
        <v>555</v>
      </c>
      <c r="G1270" s="105">
        <v>1450</v>
      </c>
      <c r="H1270" s="105">
        <v>1</v>
      </c>
      <c r="I1270" s="105" t="s">
        <v>222</v>
      </c>
      <c r="J1270" s="106">
        <f>E1270*G1270*H1270</f>
        <v>14500</v>
      </c>
    </row>
    <row r="1271" spans="1:10">
      <c r="A1271" s="17"/>
      <c r="B1271" s="107"/>
      <c r="C1271" s="104">
        <v>13</v>
      </c>
      <c r="D1271" s="105" t="s">
        <v>576</v>
      </c>
      <c r="E1271" s="105"/>
      <c r="F1271" s="105"/>
      <c r="G1271" s="105"/>
      <c r="H1271" s="105"/>
      <c r="I1271" s="105"/>
      <c r="J1271" s="106"/>
    </row>
    <row r="1272" spans="1:10" ht="63.75">
      <c r="A1272" s="17"/>
      <c r="B1272" s="107" t="s">
        <v>577</v>
      </c>
      <c r="C1272" s="104">
        <v>14</v>
      </c>
      <c r="D1272" s="59" t="s">
        <v>578</v>
      </c>
      <c r="E1272" s="24">
        <v>10</v>
      </c>
      <c r="F1272" s="24" t="s">
        <v>552</v>
      </c>
      <c r="G1272" s="26">
        <v>9600</v>
      </c>
      <c r="H1272" s="26">
        <v>1</v>
      </c>
      <c r="I1272" s="20" t="s">
        <v>222</v>
      </c>
      <c r="J1272" s="21">
        <f>E1272*G1272*H1272</f>
        <v>96000</v>
      </c>
    </row>
    <row r="1273" spans="1:10" ht="25.5">
      <c r="A1273" s="17"/>
      <c r="B1273" s="26" t="s">
        <v>567</v>
      </c>
      <c r="C1273" s="104">
        <v>15</v>
      </c>
      <c r="D1273" s="23" t="s">
        <v>579</v>
      </c>
      <c r="E1273" s="103">
        <v>2</v>
      </c>
      <c r="F1273" s="352" t="s">
        <v>552</v>
      </c>
      <c r="G1273" s="88">
        <v>340</v>
      </c>
      <c r="H1273" s="352">
        <v>1</v>
      </c>
      <c r="I1273" s="20" t="s">
        <v>222</v>
      </c>
      <c r="J1273" s="21">
        <f>E1273*G1273*H1273</f>
        <v>680</v>
      </c>
    </row>
    <row r="1274" spans="1:10">
      <c r="A1274" s="17"/>
      <c r="B1274" s="26"/>
      <c r="C1274" s="104">
        <v>16</v>
      </c>
      <c r="D1274" s="27" t="s">
        <v>580</v>
      </c>
      <c r="E1274" s="103"/>
      <c r="F1274" s="352"/>
      <c r="G1274" s="88"/>
      <c r="H1274" s="352"/>
      <c r="I1274" s="20"/>
      <c r="J1274" s="21"/>
    </row>
    <row r="1275" spans="1:10" ht="63.75">
      <c r="A1275" s="17"/>
      <c r="B1275" s="26" t="s">
        <v>577</v>
      </c>
      <c r="C1275" s="104">
        <v>17</v>
      </c>
      <c r="D1275" s="27" t="s">
        <v>578</v>
      </c>
      <c r="E1275" s="103">
        <v>1</v>
      </c>
      <c r="F1275" s="352" t="s">
        <v>552</v>
      </c>
      <c r="G1275" s="88">
        <v>9600</v>
      </c>
      <c r="H1275" s="352">
        <v>1</v>
      </c>
      <c r="I1275" s="20" t="s">
        <v>222</v>
      </c>
      <c r="J1275" s="21">
        <f>E1275*G1275*H1275</f>
        <v>9600</v>
      </c>
    </row>
    <row r="1276" spans="1:10" ht="51">
      <c r="A1276" s="17"/>
      <c r="B1276" s="107" t="s">
        <v>567</v>
      </c>
      <c r="C1276" s="104">
        <v>18</v>
      </c>
      <c r="D1276" s="66" t="s">
        <v>581</v>
      </c>
      <c r="E1276" s="103">
        <v>2</v>
      </c>
      <c r="F1276" s="107" t="s">
        <v>552</v>
      </c>
      <c r="G1276" s="88">
        <v>325</v>
      </c>
      <c r="H1276" s="107">
        <v>1</v>
      </c>
      <c r="I1276" s="20" t="s">
        <v>222</v>
      </c>
      <c r="J1276" s="21">
        <f>E1276*G1276*H1276</f>
        <v>650</v>
      </c>
    </row>
    <row r="1277" spans="1:10">
      <c r="A1277" s="17"/>
      <c r="B1277" s="107"/>
      <c r="C1277" s="104"/>
      <c r="D1277" s="66" t="s">
        <v>582</v>
      </c>
      <c r="E1277" s="353"/>
      <c r="F1277" s="107"/>
      <c r="G1277" s="88"/>
      <c r="H1277" s="107"/>
      <c r="I1277" s="60"/>
      <c r="J1277" s="21">
        <f>SUM(J1258:J1276)</f>
        <v>292610</v>
      </c>
    </row>
    <row r="1278" spans="1:10" ht="38.25">
      <c r="A1278" s="17"/>
      <c r="B1278" s="107"/>
      <c r="C1278" s="104"/>
      <c r="D1278" s="66" t="s">
        <v>583</v>
      </c>
      <c r="E1278" s="353"/>
      <c r="F1278" s="107"/>
      <c r="G1278" s="88"/>
      <c r="H1278" s="107"/>
      <c r="I1278" s="60"/>
      <c r="J1278" s="21">
        <f>J1277*30%</f>
        <v>87783</v>
      </c>
    </row>
    <row r="1279" spans="1:10">
      <c r="A1279" s="17"/>
      <c r="B1279" s="107"/>
      <c r="C1279" s="104"/>
      <c r="D1279" s="66" t="s">
        <v>584</v>
      </c>
      <c r="E1279" s="353"/>
      <c r="F1279" s="107"/>
      <c r="G1279" s="88"/>
      <c r="H1279" s="107"/>
      <c r="I1279" s="60"/>
      <c r="J1279" s="21">
        <f>SUM(J1277:J1278)</f>
        <v>380393</v>
      </c>
    </row>
    <row r="1280" spans="1:10">
      <c r="A1280" s="17"/>
      <c r="B1280" s="107"/>
      <c r="C1280" s="104"/>
      <c r="D1280" s="59" t="s">
        <v>585</v>
      </c>
      <c r="E1280" s="103"/>
      <c r="F1280" s="107"/>
      <c r="G1280" s="88"/>
      <c r="H1280" s="107"/>
      <c r="I1280" s="60"/>
      <c r="J1280" s="21">
        <f>J1277*10.615%</f>
        <v>31060.551500000001</v>
      </c>
    </row>
    <row r="1281" spans="1:10">
      <c r="A1281" s="17"/>
      <c r="B1281" s="51"/>
      <c r="C1281" s="104"/>
      <c r="D1281" s="59" t="s">
        <v>586</v>
      </c>
      <c r="E1281" s="103"/>
      <c r="F1281" s="352"/>
      <c r="G1281" s="88"/>
      <c r="H1281" s="352"/>
      <c r="I1281" s="60"/>
      <c r="J1281" s="21">
        <f>SUM(J1279:J1280)</f>
        <v>411453.5515</v>
      </c>
    </row>
    <row r="1282" spans="1:10">
      <c r="A1282" s="17"/>
      <c r="B1282" s="52"/>
      <c r="C1282" s="104"/>
      <c r="D1282" s="354" t="s">
        <v>587</v>
      </c>
      <c r="E1282" s="103"/>
      <c r="F1282" s="352"/>
      <c r="G1282" s="88"/>
      <c r="H1282" s="352"/>
      <c r="I1282" s="60"/>
      <c r="J1282" s="340">
        <f>MROUND(J1281,10)</f>
        <v>411450</v>
      </c>
    </row>
    <row r="1283" spans="1:10" ht="18.75">
      <c r="A1283" s="369"/>
      <c r="B1283" s="370"/>
      <c r="C1283" s="371"/>
      <c r="D1283" s="372" t="s">
        <v>588</v>
      </c>
      <c r="E1283" s="373"/>
      <c r="F1283" s="373"/>
      <c r="G1283" s="373"/>
      <c r="H1283" s="373"/>
      <c r="I1283" s="373"/>
      <c r="J1283" s="373"/>
    </row>
    <row r="1284" spans="1:10">
      <c r="A1284" s="360"/>
      <c r="B1284" s="361"/>
      <c r="C1284" s="362"/>
      <c r="D1284" s="341" t="s">
        <v>1</v>
      </c>
      <c r="E1284" s="363"/>
      <c r="F1284" s="363"/>
      <c r="G1284" s="364"/>
      <c r="H1284" s="365"/>
      <c r="I1284" s="365"/>
      <c r="J1284" s="366"/>
    </row>
    <row r="1285" spans="1:10" ht="204">
      <c r="A1285" s="17"/>
      <c r="B1285" s="24"/>
      <c r="C1285" s="20"/>
      <c r="D1285" s="105" t="s">
        <v>589</v>
      </c>
      <c r="E1285" s="105"/>
      <c r="F1285" s="105"/>
      <c r="G1285" s="105"/>
      <c r="H1285" s="105"/>
      <c r="I1285" s="105"/>
      <c r="J1285" s="106"/>
    </row>
    <row r="1286" spans="1:10">
      <c r="A1286" s="17"/>
      <c r="B1286" s="107"/>
      <c r="C1286" s="104"/>
      <c r="D1286" s="374" t="s">
        <v>549</v>
      </c>
      <c r="E1286" s="105"/>
      <c r="F1286" s="105"/>
      <c r="G1286" s="105"/>
      <c r="H1286" s="105"/>
      <c r="I1286" s="105"/>
      <c r="J1286" s="106"/>
    </row>
    <row r="1287" spans="1:10" ht="63.75">
      <c r="A1287" s="17"/>
      <c r="B1287" s="107" t="s">
        <v>590</v>
      </c>
      <c r="C1287" s="104">
        <v>1</v>
      </c>
      <c r="D1287" s="59" t="s">
        <v>591</v>
      </c>
      <c r="E1287" s="24">
        <v>1</v>
      </c>
      <c r="F1287" s="24" t="s">
        <v>552</v>
      </c>
      <c r="G1287" s="26">
        <v>13770</v>
      </c>
      <c r="H1287" s="26">
        <v>1</v>
      </c>
      <c r="I1287" s="20" t="s">
        <v>222</v>
      </c>
      <c r="J1287" s="21">
        <f>E1287*G1287*H1287</f>
        <v>13770</v>
      </c>
    </row>
    <row r="1288" spans="1:10" ht="25.5">
      <c r="A1288" s="17"/>
      <c r="B1288" s="26" t="s">
        <v>592</v>
      </c>
      <c r="C1288" s="104">
        <v>2</v>
      </c>
      <c r="D1288" s="23" t="s">
        <v>593</v>
      </c>
      <c r="E1288" s="103">
        <v>1</v>
      </c>
      <c r="F1288" s="352" t="s">
        <v>555</v>
      </c>
      <c r="G1288" s="88">
        <v>360</v>
      </c>
      <c r="H1288" s="352">
        <v>1</v>
      </c>
      <c r="I1288" s="20" t="s">
        <v>222</v>
      </c>
      <c r="J1288" s="21">
        <f>E1288*G1288*H1288</f>
        <v>360</v>
      </c>
    </row>
    <row r="1289" spans="1:10" ht="25.5">
      <c r="A1289" s="17"/>
      <c r="B1289" s="26" t="s">
        <v>574</v>
      </c>
      <c r="C1289" s="104">
        <v>3</v>
      </c>
      <c r="D1289" s="27" t="s">
        <v>594</v>
      </c>
      <c r="E1289" s="103">
        <v>1</v>
      </c>
      <c r="F1289" s="352" t="s">
        <v>555</v>
      </c>
      <c r="G1289" s="88">
        <v>1450</v>
      </c>
      <c r="H1289" s="352">
        <v>1</v>
      </c>
      <c r="I1289" s="20" t="s">
        <v>222</v>
      </c>
      <c r="J1289" s="21">
        <f>E1289*G1289*H1289</f>
        <v>1450</v>
      </c>
    </row>
    <row r="1290" spans="1:10" ht="38.25">
      <c r="A1290" s="17"/>
      <c r="B1290" s="26" t="s">
        <v>558</v>
      </c>
      <c r="C1290" s="104">
        <v>4</v>
      </c>
      <c r="D1290" s="27" t="s">
        <v>559</v>
      </c>
      <c r="E1290" s="103">
        <v>1</v>
      </c>
      <c r="F1290" s="352" t="s">
        <v>24</v>
      </c>
      <c r="G1290" s="88">
        <v>2425</v>
      </c>
      <c r="H1290" s="352">
        <v>1</v>
      </c>
      <c r="I1290" s="20" t="s">
        <v>222</v>
      </c>
      <c r="J1290" s="21">
        <f t="shared" ref="J1290:J1294" si="9">E1290*G1290*H1290</f>
        <v>2425</v>
      </c>
    </row>
    <row r="1291" spans="1:10" ht="38.25">
      <c r="A1291" s="17"/>
      <c r="B1291" s="107" t="s">
        <v>560</v>
      </c>
      <c r="C1291" s="104">
        <v>5</v>
      </c>
      <c r="D1291" s="66" t="s">
        <v>561</v>
      </c>
      <c r="E1291" s="103">
        <v>1</v>
      </c>
      <c r="F1291" s="107" t="s">
        <v>24</v>
      </c>
      <c r="G1291" s="88">
        <v>2425</v>
      </c>
      <c r="H1291" s="107">
        <v>1</v>
      </c>
      <c r="I1291" s="20" t="s">
        <v>222</v>
      </c>
      <c r="J1291" s="21">
        <f t="shared" si="9"/>
        <v>2425</v>
      </c>
    </row>
    <row r="1292" spans="1:10" ht="25.5">
      <c r="A1292" s="17"/>
      <c r="B1292" s="107" t="s">
        <v>562</v>
      </c>
      <c r="C1292" s="104">
        <v>6</v>
      </c>
      <c r="D1292" s="66" t="s">
        <v>563</v>
      </c>
      <c r="E1292" s="353">
        <v>2</v>
      </c>
      <c r="F1292" s="107" t="s">
        <v>24</v>
      </c>
      <c r="G1292" s="88">
        <v>90</v>
      </c>
      <c r="H1292" s="107">
        <v>1</v>
      </c>
      <c r="I1292" s="60" t="s">
        <v>222</v>
      </c>
      <c r="J1292" s="21">
        <f t="shared" si="9"/>
        <v>180</v>
      </c>
    </row>
    <row r="1293" spans="1:10" ht="25.5">
      <c r="A1293" s="17"/>
      <c r="B1293" s="107" t="s">
        <v>497</v>
      </c>
      <c r="C1293" s="104">
        <v>7</v>
      </c>
      <c r="D1293" s="66" t="s">
        <v>564</v>
      </c>
      <c r="E1293" s="353">
        <v>6</v>
      </c>
      <c r="F1293" s="107" t="s">
        <v>24</v>
      </c>
      <c r="G1293" s="88">
        <v>165</v>
      </c>
      <c r="H1293" s="107">
        <v>1</v>
      </c>
      <c r="I1293" s="60" t="s">
        <v>222</v>
      </c>
      <c r="J1293" s="21">
        <f t="shared" si="9"/>
        <v>990</v>
      </c>
    </row>
    <row r="1294" spans="1:10" ht="38.25">
      <c r="A1294" s="17"/>
      <c r="B1294" s="107" t="s">
        <v>565</v>
      </c>
      <c r="C1294" s="104">
        <v>8</v>
      </c>
      <c r="D1294" s="66" t="s">
        <v>566</v>
      </c>
      <c r="E1294" s="353">
        <v>3</v>
      </c>
      <c r="F1294" s="107" t="s">
        <v>24</v>
      </c>
      <c r="G1294" s="88">
        <v>530</v>
      </c>
      <c r="H1294" s="107">
        <v>1</v>
      </c>
      <c r="I1294" s="60" t="s">
        <v>222</v>
      </c>
      <c r="J1294" s="21">
        <f t="shared" si="9"/>
        <v>1590</v>
      </c>
    </row>
    <row r="1295" spans="1:10" ht="51">
      <c r="A1295" s="17"/>
      <c r="B1295" s="107" t="s">
        <v>567</v>
      </c>
      <c r="C1295" s="104">
        <v>9</v>
      </c>
      <c r="D1295" s="59" t="s">
        <v>568</v>
      </c>
      <c r="E1295" s="103">
        <v>4</v>
      </c>
      <c r="F1295" s="107" t="s">
        <v>552</v>
      </c>
      <c r="G1295" s="88">
        <v>340</v>
      </c>
      <c r="H1295" s="107">
        <v>1</v>
      </c>
      <c r="I1295" s="60" t="s">
        <v>222</v>
      </c>
      <c r="J1295" s="21">
        <f>E1295*G1295*H1295</f>
        <v>1360</v>
      </c>
    </row>
    <row r="1296" spans="1:10">
      <c r="A1296" s="17"/>
      <c r="B1296" s="51"/>
      <c r="C1296" s="104"/>
      <c r="D1296" s="375" t="s">
        <v>569</v>
      </c>
      <c r="E1296" s="103"/>
      <c r="F1296" s="352"/>
      <c r="G1296" s="88"/>
      <c r="H1296" s="352"/>
      <c r="I1296" s="60"/>
      <c r="J1296" s="21"/>
    </row>
    <row r="1297" spans="1:10" ht="25.5">
      <c r="A1297" s="17"/>
      <c r="B1297" s="107" t="s">
        <v>595</v>
      </c>
      <c r="C1297" s="368">
        <v>10</v>
      </c>
      <c r="D1297" s="354" t="s">
        <v>596</v>
      </c>
      <c r="E1297" s="103">
        <v>18</v>
      </c>
      <c r="F1297" s="352" t="s">
        <v>24</v>
      </c>
      <c r="G1297" s="88">
        <v>1700</v>
      </c>
      <c r="H1297" s="352">
        <v>1</v>
      </c>
      <c r="I1297" s="60" t="s">
        <v>222</v>
      </c>
      <c r="J1297" s="21">
        <f>E1297*G1297*H1297</f>
        <v>30600</v>
      </c>
    </row>
    <row r="1298" spans="1:10" ht="25.5">
      <c r="A1298" s="17"/>
      <c r="B1298" s="107" t="s">
        <v>597</v>
      </c>
      <c r="C1298" s="367">
        <v>11</v>
      </c>
      <c r="D1298" s="59" t="s">
        <v>598</v>
      </c>
      <c r="E1298" s="103">
        <v>18</v>
      </c>
      <c r="F1298" s="352" t="s">
        <v>24</v>
      </c>
      <c r="G1298" s="88">
        <v>3530</v>
      </c>
      <c r="H1298" s="352">
        <v>1</v>
      </c>
      <c r="I1298" s="60" t="s">
        <v>222</v>
      </c>
      <c r="J1298" s="21">
        <f>E1298*G1298*H1298</f>
        <v>63540</v>
      </c>
    </row>
    <row r="1299" spans="1:10">
      <c r="A1299" s="17"/>
      <c r="B1299" s="24"/>
      <c r="C1299" s="20"/>
      <c r="D1299" s="105" t="s">
        <v>582</v>
      </c>
      <c r="E1299" s="105"/>
      <c r="F1299" s="105"/>
      <c r="G1299" s="105"/>
      <c r="H1299" s="105"/>
      <c r="I1299" s="105"/>
      <c r="J1299" s="106">
        <f>SUM(J1287:J1298)</f>
        <v>118690</v>
      </c>
    </row>
    <row r="1300" spans="1:10" ht="38.25">
      <c r="A1300" s="17"/>
      <c r="B1300" s="107"/>
      <c r="C1300" s="104"/>
      <c r="D1300" s="105" t="s">
        <v>599</v>
      </c>
      <c r="E1300" s="105"/>
      <c r="F1300" s="105"/>
      <c r="G1300" s="105"/>
      <c r="H1300" s="105"/>
      <c r="I1300" s="105"/>
      <c r="J1300" s="106">
        <f>J1299*30%</f>
        <v>35607</v>
      </c>
    </row>
    <row r="1301" spans="1:10">
      <c r="A1301" s="17"/>
      <c r="B1301" s="107"/>
      <c r="C1301" s="104"/>
      <c r="D1301" s="59" t="s">
        <v>584</v>
      </c>
      <c r="E1301" s="24"/>
      <c r="F1301" s="24"/>
      <c r="G1301" s="26"/>
      <c r="H1301" s="26"/>
      <c r="I1301" s="20"/>
      <c r="J1301" s="21">
        <f>SUM(J1299:J1300)</f>
        <v>154297</v>
      </c>
    </row>
    <row r="1302" spans="1:10">
      <c r="A1302" s="17"/>
      <c r="B1302" s="107"/>
      <c r="C1302" s="22"/>
      <c r="D1302" s="23" t="s">
        <v>585</v>
      </c>
      <c r="E1302" s="103"/>
      <c r="F1302" s="352"/>
      <c r="G1302" s="88"/>
      <c r="H1302" s="352"/>
      <c r="I1302" s="20"/>
      <c r="J1302" s="21">
        <f>J1299*10.615%</f>
        <v>12598.943500000001</v>
      </c>
    </row>
    <row r="1303" spans="1:10">
      <c r="A1303" s="17"/>
      <c r="B1303" s="107"/>
      <c r="C1303" s="22"/>
      <c r="D1303" s="27" t="s">
        <v>586</v>
      </c>
      <c r="E1303" s="103"/>
      <c r="F1303" s="352"/>
      <c r="G1303" s="88"/>
      <c r="H1303" s="352"/>
      <c r="I1303" s="20"/>
      <c r="J1303" s="21">
        <f>SUM(J1301:J1302)</f>
        <v>166895.94349999999</v>
      </c>
    </row>
    <row r="1304" spans="1:10">
      <c r="A1304" s="17"/>
      <c r="B1304" s="107"/>
      <c r="C1304" s="22"/>
      <c r="D1304" s="27" t="s">
        <v>587</v>
      </c>
      <c r="E1304" s="103"/>
      <c r="F1304" s="352"/>
      <c r="G1304" s="88"/>
      <c r="H1304" s="352"/>
      <c r="I1304" s="20"/>
      <c r="J1304" s="340">
        <f>MROUND(J1303,10)</f>
        <v>166900</v>
      </c>
    </row>
  </sheetData>
  <mergeCells count="2">
    <mergeCell ref="B1113:B1119"/>
    <mergeCell ref="B1132:B113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F39E4-C84F-4858-8605-C4144409AD32}">
  <sheetPr codeName="Sheet2"/>
  <dimension ref="A1:D82"/>
  <sheetViews>
    <sheetView tabSelected="1" topLeftCell="A40" workbookViewId="0">
      <selection activeCell="F58" sqref="F58"/>
    </sheetView>
  </sheetViews>
  <sheetFormatPr defaultRowHeight="15"/>
  <cols>
    <col min="1" max="1" width="58.140625" bestFit="1" customWidth="1"/>
    <col min="2" max="2" width="29" style="380" bestFit="1" customWidth="1"/>
    <col min="3" max="3" width="38.28515625" style="380" customWidth="1"/>
    <col min="4" max="4" width="9.140625" style="380"/>
  </cols>
  <sheetData>
    <row r="1" spans="1:4" s="377" customFormat="1">
      <c r="A1" s="378" t="s">
        <v>634</v>
      </c>
      <c r="B1" s="379" t="s">
        <v>635</v>
      </c>
      <c r="C1" s="379" t="s">
        <v>636</v>
      </c>
      <c r="D1" s="379" t="s">
        <v>6</v>
      </c>
    </row>
    <row r="2" spans="1:4">
      <c r="A2" t="s">
        <v>422</v>
      </c>
      <c r="B2" s="381" t="s">
        <v>608</v>
      </c>
      <c r="C2" s="380" t="s">
        <v>638</v>
      </c>
      <c r="D2" s="380" t="s">
        <v>24</v>
      </c>
    </row>
    <row r="3" spans="1:4">
      <c r="A3" s="376" t="s">
        <v>610</v>
      </c>
      <c r="B3" s="381" t="s">
        <v>609</v>
      </c>
      <c r="C3" s="380" t="s">
        <v>638</v>
      </c>
      <c r="D3" s="380" t="s">
        <v>24</v>
      </c>
    </row>
    <row r="4" spans="1:4">
      <c r="A4" t="s">
        <v>529</v>
      </c>
      <c r="B4" s="381" t="s">
        <v>609</v>
      </c>
      <c r="C4" s="380" t="s">
        <v>638</v>
      </c>
      <c r="D4" s="380" t="s">
        <v>24</v>
      </c>
    </row>
    <row r="5" spans="1:4">
      <c r="A5" t="s">
        <v>412</v>
      </c>
      <c r="B5" s="381" t="s">
        <v>608</v>
      </c>
      <c r="C5" s="380" t="s">
        <v>638</v>
      </c>
      <c r="D5" s="380" t="s">
        <v>24</v>
      </c>
    </row>
    <row r="6" spans="1:4">
      <c r="A6" t="s">
        <v>450</v>
      </c>
      <c r="B6" s="381" t="s">
        <v>611</v>
      </c>
      <c r="C6" s="380" t="s">
        <v>638</v>
      </c>
      <c r="D6" s="380" t="s">
        <v>24</v>
      </c>
    </row>
    <row r="7" spans="1:4">
      <c r="A7" t="s">
        <v>607</v>
      </c>
      <c r="B7" s="381" t="s">
        <v>612</v>
      </c>
      <c r="C7" s="380" t="s">
        <v>638</v>
      </c>
      <c r="D7" s="380" t="s">
        <v>24</v>
      </c>
    </row>
    <row r="8" spans="1:4">
      <c r="A8" t="s">
        <v>511</v>
      </c>
      <c r="B8" s="381" t="s">
        <v>613</v>
      </c>
      <c r="C8" s="380" t="s">
        <v>638</v>
      </c>
      <c r="D8" s="380" t="s">
        <v>24</v>
      </c>
    </row>
    <row r="9" spans="1:4">
      <c r="A9" t="s">
        <v>142</v>
      </c>
      <c r="B9" s="381" t="s">
        <v>613</v>
      </c>
      <c r="C9" s="380" t="s">
        <v>638</v>
      </c>
      <c r="D9" s="380" t="s">
        <v>24</v>
      </c>
    </row>
    <row r="10" spans="1:4">
      <c r="A10" t="s">
        <v>127</v>
      </c>
      <c r="B10" s="381" t="s">
        <v>615</v>
      </c>
      <c r="C10" s="380" t="s">
        <v>638</v>
      </c>
      <c r="D10" s="380" t="s">
        <v>24</v>
      </c>
    </row>
    <row r="11" spans="1:4">
      <c r="A11" t="s">
        <v>149</v>
      </c>
      <c r="B11" s="381" t="s">
        <v>612</v>
      </c>
      <c r="C11" s="380" t="s">
        <v>638</v>
      </c>
      <c r="D11" s="380" t="s">
        <v>24</v>
      </c>
    </row>
    <row r="12" spans="1:4">
      <c r="A12" t="s">
        <v>156</v>
      </c>
      <c r="B12" s="381" t="s">
        <v>612</v>
      </c>
      <c r="C12" s="380" t="s">
        <v>638</v>
      </c>
      <c r="D12" s="380" t="s">
        <v>24</v>
      </c>
    </row>
    <row r="13" spans="1:4">
      <c r="A13" t="s">
        <v>342</v>
      </c>
      <c r="B13" s="381" t="s">
        <v>614</v>
      </c>
      <c r="C13" s="380" t="s">
        <v>638</v>
      </c>
      <c r="D13" s="380" t="s">
        <v>64</v>
      </c>
    </row>
    <row r="14" spans="1:4">
      <c r="A14" t="s">
        <v>461</v>
      </c>
      <c r="B14" s="381" t="s">
        <v>611</v>
      </c>
      <c r="C14" s="380" t="s">
        <v>638</v>
      </c>
      <c r="D14" s="380" t="s">
        <v>24</v>
      </c>
    </row>
    <row r="15" spans="1:4">
      <c r="A15" t="s">
        <v>360</v>
      </c>
      <c r="B15" s="381" t="s">
        <v>614</v>
      </c>
      <c r="C15" s="380" t="s">
        <v>638</v>
      </c>
      <c r="D15" s="380" t="s">
        <v>64</v>
      </c>
    </row>
    <row r="16" spans="1:4">
      <c r="A16" t="s">
        <v>602</v>
      </c>
      <c r="B16" s="381" t="s">
        <v>611</v>
      </c>
      <c r="C16" s="380" t="s">
        <v>638</v>
      </c>
      <c r="D16" s="380" t="s">
        <v>24</v>
      </c>
    </row>
    <row r="17" spans="1:4">
      <c r="A17" t="s">
        <v>338</v>
      </c>
      <c r="B17" s="381" t="s">
        <v>614</v>
      </c>
      <c r="C17" s="380" t="s">
        <v>638</v>
      </c>
      <c r="D17" s="380" t="s">
        <v>64</v>
      </c>
    </row>
    <row r="18" spans="1:4">
      <c r="A18" t="s">
        <v>302</v>
      </c>
      <c r="B18" s="381" t="s">
        <v>614</v>
      </c>
      <c r="C18" s="380" t="s">
        <v>638</v>
      </c>
      <c r="D18" s="380" t="s">
        <v>64</v>
      </c>
    </row>
    <row r="19" spans="1:4">
      <c r="A19" t="s">
        <v>430</v>
      </c>
      <c r="B19" s="381" t="s">
        <v>617</v>
      </c>
      <c r="C19" s="380" t="s">
        <v>638</v>
      </c>
      <c r="D19" s="380" t="s">
        <v>64</v>
      </c>
    </row>
    <row r="20" spans="1:4">
      <c r="A20" t="s">
        <v>600</v>
      </c>
      <c r="B20" s="381" t="s">
        <v>612</v>
      </c>
      <c r="C20" s="380" t="s">
        <v>638</v>
      </c>
      <c r="D20" s="380" t="s">
        <v>24</v>
      </c>
    </row>
    <row r="21" spans="1:4">
      <c r="A21" t="s">
        <v>224</v>
      </c>
      <c r="B21" s="381" t="s">
        <v>616</v>
      </c>
      <c r="C21" s="380" t="s">
        <v>638</v>
      </c>
      <c r="D21" s="380" t="s">
        <v>64</v>
      </c>
    </row>
    <row r="22" spans="1:4">
      <c r="A22" t="s">
        <v>308</v>
      </c>
      <c r="B22" s="381" t="s">
        <v>614</v>
      </c>
      <c r="C22" s="380" t="s">
        <v>638</v>
      </c>
      <c r="D22" s="380" t="s">
        <v>64</v>
      </c>
    </row>
    <row r="23" spans="1:4">
      <c r="A23" t="s">
        <v>512</v>
      </c>
      <c r="B23" s="381" t="s">
        <v>613</v>
      </c>
      <c r="C23" s="380" t="s">
        <v>638</v>
      </c>
      <c r="D23" s="380" t="s">
        <v>24</v>
      </c>
    </row>
    <row r="24" spans="1:4">
      <c r="A24" t="s">
        <v>525</v>
      </c>
      <c r="B24" s="381" t="s">
        <v>617</v>
      </c>
      <c r="C24" s="380" t="s">
        <v>638</v>
      </c>
      <c r="D24" s="380" t="s">
        <v>64</v>
      </c>
    </row>
    <row r="25" spans="1:4">
      <c r="A25" t="s">
        <v>114</v>
      </c>
      <c r="B25" s="381" t="s">
        <v>615</v>
      </c>
      <c r="C25" s="380" t="s">
        <v>638</v>
      </c>
      <c r="D25" s="380" t="s">
        <v>24</v>
      </c>
    </row>
    <row r="26" spans="1:4">
      <c r="A26" t="s">
        <v>637</v>
      </c>
      <c r="B26" s="381" t="s">
        <v>618</v>
      </c>
      <c r="C26" s="380" t="s">
        <v>638</v>
      </c>
      <c r="D26" s="380" t="s">
        <v>24</v>
      </c>
    </row>
    <row r="27" spans="1:4">
      <c r="A27" t="s">
        <v>377</v>
      </c>
      <c r="B27" s="381" t="s">
        <v>618</v>
      </c>
      <c r="C27" s="380" t="s">
        <v>638</v>
      </c>
      <c r="D27" s="380" t="s">
        <v>24</v>
      </c>
    </row>
    <row r="28" spans="1:4">
      <c r="A28" t="s">
        <v>260</v>
      </c>
      <c r="B28" s="381" t="s">
        <v>619</v>
      </c>
      <c r="C28" s="380" t="s">
        <v>638</v>
      </c>
      <c r="D28" s="380" t="s">
        <v>64</v>
      </c>
    </row>
    <row r="29" spans="1:4">
      <c r="A29" t="s">
        <v>352</v>
      </c>
      <c r="B29" s="381" t="s">
        <v>616</v>
      </c>
      <c r="C29" s="380" t="s">
        <v>638</v>
      </c>
      <c r="D29" s="380" t="s">
        <v>24</v>
      </c>
    </row>
    <row r="30" spans="1:4">
      <c r="A30" t="s">
        <v>119</v>
      </c>
      <c r="B30" s="381" t="s">
        <v>615</v>
      </c>
      <c r="C30" s="380" t="s">
        <v>638</v>
      </c>
      <c r="D30" s="380" t="s">
        <v>24</v>
      </c>
    </row>
    <row r="31" spans="1:4">
      <c r="A31" t="s">
        <v>237</v>
      </c>
      <c r="B31" s="381" t="s">
        <v>616</v>
      </c>
      <c r="C31" s="380" t="s">
        <v>638</v>
      </c>
      <c r="D31" s="380" t="s">
        <v>24</v>
      </c>
    </row>
    <row r="32" spans="1:4">
      <c r="A32" t="s">
        <v>479</v>
      </c>
      <c r="B32" s="381" t="s">
        <v>475</v>
      </c>
      <c r="C32" s="380" t="s">
        <v>638</v>
      </c>
      <c r="D32" s="380" t="s">
        <v>24</v>
      </c>
    </row>
    <row r="33" spans="1:4">
      <c r="A33" t="s">
        <v>482</v>
      </c>
      <c r="B33" s="381" t="s">
        <v>475</v>
      </c>
      <c r="C33" s="380" t="s">
        <v>638</v>
      </c>
      <c r="D33" s="380" t="s">
        <v>24</v>
      </c>
    </row>
    <row r="34" spans="1:4">
      <c r="A34" t="s">
        <v>216</v>
      </c>
      <c r="B34" s="381" t="s">
        <v>609</v>
      </c>
      <c r="C34" s="380" t="s">
        <v>638</v>
      </c>
      <c r="D34" s="380" t="s">
        <v>24</v>
      </c>
    </row>
    <row r="35" spans="1:4">
      <c r="A35" t="s">
        <v>457</v>
      </c>
      <c r="B35" s="381" t="s">
        <v>611</v>
      </c>
      <c r="C35" s="380" t="s">
        <v>638</v>
      </c>
      <c r="D35" s="380" t="s">
        <v>24</v>
      </c>
    </row>
    <row r="36" spans="1:4">
      <c r="A36" t="s">
        <v>540</v>
      </c>
      <c r="B36" s="381" t="s">
        <v>620</v>
      </c>
      <c r="C36" s="380" t="s">
        <v>638</v>
      </c>
      <c r="D36" s="380" t="s">
        <v>64</v>
      </c>
    </row>
    <row r="37" spans="1:4">
      <c r="A37" t="s">
        <v>372</v>
      </c>
      <c r="B37" s="381" t="s">
        <v>618</v>
      </c>
      <c r="C37" s="380" t="s">
        <v>638</v>
      </c>
      <c r="D37" s="380" t="s">
        <v>64</v>
      </c>
    </row>
    <row r="38" spans="1:4">
      <c r="A38" t="s">
        <v>160</v>
      </c>
      <c r="B38" s="381" t="s">
        <v>613</v>
      </c>
      <c r="C38" s="380" t="s">
        <v>638</v>
      </c>
      <c r="D38" s="380" t="s">
        <v>24</v>
      </c>
    </row>
    <row r="39" spans="1:4">
      <c r="A39" t="s">
        <v>491</v>
      </c>
      <c r="B39" s="381" t="s">
        <v>621</v>
      </c>
      <c r="C39" s="380" t="s">
        <v>638</v>
      </c>
      <c r="D39" s="380" t="s">
        <v>24</v>
      </c>
    </row>
    <row r="40" spans="1:4">
      <c r="A40" t="s">
        <v>87</v>
      </c>
      <c r="B40" s="381" t="s">
        <v>615</v>
      </c>
      <c r="C40" s="380" t="s">
        <v>638</v>
      </c>
      <c r="D40" s="380" t="s">
        <v>24</v>
      </c>
    </row>
    <row r="41" spans="1:4">
      <c r="A41" s="376" t="s">
        <v>633</v>
      </c>
      <c r="B41" s="381" t="s">
        <v>608</v>
      </c>
      <c r="C41" s="380" t="s">
        <v>638</v>
      </c>
      <c r="D41" s="380" t="s">
        <v>64</v>
      </c>
    </row>
    <row r="42" spans="1:4">
      <c r="A42" t="s">
        <v>440</v>
      </c>
      <c r="B42" s="381" t="s">
        <v>608</v>
      </c>
      <c r="C42" s="380" t="s">
        <v>638</v>
      </c>
      <c r="D42" s="380" t="s">
        <v>24</v>
      </c>
    </row>
    <row r="43" spans="1:4">
      <c r="A43" t="s">
        <v>436</v>
      </c>
      <c r="B43" s="381" t="s">
        <v>608</v>
      </c>
      <c r="C43" s="380" t="s">
        <v>638</v>
      </c>
      <c r="D43" s="380" t="s">
        <v>64</v>
      </c>
    </row>
    <row r="44" spans="1:4">
      <c r="A44" t="s">
        <v>485</v>
      </c>
      <c r="B44" s="381" t="s">
        <v>622</v>
      </c>
      <c r="C44" s="380" t="s">
        <v>638</v>
      </c>
      <c r="D44" s="380" t="s">
        <v>24</v>
      </c>
    </row>
    <row r="45" spans="1:4">
      <c r="A45" t="s">
        <v>447</v>
      </c>
      <c r="B45" s="381" t="s">
        <v>611</v>
      </c>
      <c r="C45" s="380" t="s">
        <v>638</v>
      </c>
      <c r="D45" s="380" t="s">
        <v>24</v>
      </c>
    </row>
    <row r="46" spans="1:4">
      <c r="A46" t="s">
        <v>135</v>
      </c>
      <c r="B46" s="381" t="s">
        <v>623</v>
      </c>
      <c r="C46" s="380" t="s">
        <v>638</v>
      </c>
      <c r="D46" s="380" t="s">
        <v>24</v>
      </c>
    </row>
    <row r="47" spans="1:4">
      <c r="A47" t="s">
        <v>325</v>
      </c>
      <c r="B47" s="381" t="s">
        <v>619</v>
      </c>
      <c r="C47" s="380" t="s">
        <v>638</v>
      </c>
      <c r="D47" s="380" t="s">
        <v>64</v>
      </c>
    </row>
    <row r="48" spans="1:4">
      <c r="A48" t="s">
        <v>444</v>
      </c>
      <c r="B48" s="381" t="s">
        <v>611</v>
      </c>
      <c r="C48" s="380" t="s">
        <v>638</v>
      </c>
      <c r="D48" s="380" t="s">
        <v>24</v>
      </c>
    </row>
    <row r="49" spans="1:4">
      <c r="A49" t="s">
        <v>187</v>
      </c>
      <c r="B49" s="381" t="s">
        <v>613</v>
      </c>
      <c r="C49" s="380" t="s">
        <v>638</v>
      </c>
      <c r="D49" s="380" t="s">
        <v>24</v>
      </c>
    </row>
    <row r="50" spans="1:4">
      <c r="A50" t="s">
        <v>647</v>
      </c>
      <c r="B50" s="381" t="s">
        <v>624</v>
      </c>
      <c r="C50" s="380" t="s">
        <v>639</v>
      </c>
      <c r="D50" s="380" t="s">
        <v>641</v>
      </c>
    </row>
    <row r="51" spans="1:4">
      <c r="A51" t="s">
        <v>648</v>
      </c>
      <c r="B51" s="381" t="s">
        <v>624</v>
      </c>
      <c r="C51" s="380" t="s">
        <v>639</v>
      </c>
      <c r="D51" s="380" t="s">
        <v>641</v>
      </c>
    </row>
    <row r="52" spans="1:4">
      <c r="A52" t="s">
        <v>290</v>
      </c>
      <c r="B52" s="381" t="s">
        <v>625</v>
      </c>
      <c r="C52" s="380" t="s">
        <v>638</v>
      </c>
      <c r="D52" s="380" t="s">
        <v>24</v>
      </c>
    </row>
    <row r="53" spans="1:4">
      <c r="A53" t="s">
        <v>284</v>
      </c>
      <c r="B53" s="381" t="s">
        <v>619</v>
      </c>
      <c r="C53" s="380" t="s">
        <v>638</v>
      </c>
      <c r="D53" s="380" t="s">
        <v>64</v>
      </c>
    </row>
    <row r="54" spans="1:4">
      <c r="A54" t="s">
        <v>601</v>
      </c>
      <c r="B54" s="381" t="s">
        <v>619</v>
      </c>
      <c r="C54" s="380" t="s">
        <v>638</v>
      </c>
      <c r="D54" s="380" t="s">
        <v>24</v>
      </c>
    </row>
    <row r="55" spans="1:4">
      <c r="A55" t="s">
        <v>392</v>
      </c>
      <c r="B55" s="381" t="s">
        <v>618</v>
      </c>
      <c r="C55" s="380" t="s">
        <v>638</v>
      </c>
      <c r="D55" s="380" t="s">
        <v>24</v>
      </c>
    </row>
    <row r="56" spans="1:4">
      <c r="A56" t="s">
        <v>368</v>
      </c>
      <c r="B56" s="381" t="s">
        <v>626</v>
      </c>
      <c r="C56" s="380" t="s">
        <v>638</v>
      </c>
      <c r="D56" s="380" t="s">
        <v>642</v>
      </c>
    </row>
    <row r="57" spans="1:4">
      <c r="A57" t="s">
        <v>346</v>
      </c>
      <c r="B57" s="381" t="s">
        <v>614</v>
      </c>
      <c r="D57" s="380" t="s">
        <v>64</v>
      </c>
    </row>
    <row r="58" spans="1:4">
      <c r="A58" t="s">
        <v>312</v>
      </c>
      <c r="B58" s="381" t="s">
        <v>614</v>
      </c>
      <c r="D58" s="380" t="s">
        <v>64</v>
      </c>
    </row>
    <row r="59" spans="1:4">
      <c r="A59" t="s">
        <v>533</v>
      </c>
      <c r="B59" s="381" t="s">
        <v>612</v>
      </c>
      <c r="C59" s="380" t="s">
        <v>638</v>
      </c>
      <c r="D59" s="380" t="s">
        <v>24</v>
      </c>
    </row>
    <row r="60" spans="1:4">
      <c r="A60" t="s">
        <v>643</v>
      </c>
      <c r="B60" s="381" t="s">
        <v>624</v>
      </c>
      <c r="C60" s="380" t="s">
        <v>639</v>
      </c>
      <c r="D60" s="380" t="s">
        <v>641</v>
      </c>
    </row>
    <row r="61" spans="1:4">
      <c r="A61" t="s">
        <v>644</v>
      </c>
      <c r="B61" s="381" t="s">
        <v>624</v>
      </c>
      <c r="C61" s="380" t="s">
        <v>639</v>
      </c>
      <c r="D61" s="380" t="s">
        <v>641</v>
      </c>
    </row>
    <row r="62" spans="1:4">
      <c r="A62" t="s">
        <v>547</v>
      </c>
      <c r="B62" s="381" t="s">
        <v>621</v>
      </c>
      <c r="C62" s="380" t="s">
        <v>638</v>
      </c>
      <c r="D62" s="380" t="s">
        <v>24</v>
      </c>
    </row>
    <row r="63" spans="1:4">
      <c r="A63" t="s">
        <v>183</v>
      </c>
      <c r="B63" s="381" t="s">
        <v>612</v>
      </c>
      <c r="C63" s="380" t="s">
        <v>638</v>
      </c>
      <c r="D63" s="380" t="s">
        <v>24</v>
      </c>
    </row>
    <row r="64" spans="1:4">
      <c r="A64" t="s">
        <v>603</v>
      </c>
      <c r="B64" s="381" t="s">
        <v>615</v>
      </c>
      <c r="C64" s="380" t="s">
        <v>638</v>
      </c>
      <c r="D64" s="380" t="s">
        <v>24</v>
      </c>
    </row>
    <row r="65" spans="1:4">
      <c r="A65" t="s">
        <v>605</v>
      </c>
      <c r="B65" s="381" t="s">
        <v>611</v>
      </c>
      <c r="C65" s="380" t="s">
        <v>638</v>
      </c>
      <c r="D65" s="380" t="s">
        <v>24</v>
      </c>
    </row>
    <row r="66" spans="1:4">
      <c r="A66" t="s">
        <v>588</v>
      </c>
      <c r="B66" s="381" t="s">
        <v>621</v>
      </c>
      <c r="C66" s="380" t="s">
        <v>638</v>
      </c>
      <c r="D66" s="380" t="s">
        <v>24</v>
      </c>
    </row>
    <row r="67" spans="1:4">
      <c r="A67" t="s">
        <v>604</v>
      </c>
      <c r="B67" s="381" t="s">
        <v>618</v>
      </c>
      <c r="C67" s="380" t="s">
        <v>638</v>
      </c>
      <c r="D67" s="380" t="s">
        <v>24</v>
      </c>
    </row>
    <row r="68" spans="1:4">
      <c r="A68" t="s">
        <v>97</v>
      </c>
      <c r="B68" s="381" t="s">
        <v>615</v>
      </c>
      <c r="C68" s="380" t="s">
        <v>638</v>
      </c>
      <c r="D68" s="380" t="s">
        <v>24</v>
      </c>
    </row>
    <row r="69" spans="1:4">
      <c r="A69" t="s">
        <v>105</v>
      </c>
      <c r="B69" s="381" t="s">
        <v>615</v>
      </c>
      <c r="C69" s="380" t="s">
        <v>638</v>
      </c>
      <c r="D69" s="380" t="s">
        <v>24</v>
      </c>
    </row>
    <row r="70" spans="1:4">
      <c r="A70" t="s">
        <v>627</v>
      </c>
      <c r="B70" s="381" t="s">
        <v>618</v>
      </c>
      <c r="C70" s="380" t="s">
        <v>638</v>
      </c>
      <c r="D70" s="380" t="s">
        <v>24</v>
      </c>
    </row>
    <row r="71" spans="1:4">
      <c r="A71" t="s">
        <v>387</v>
      </c>
      <c r="B71" s="381" t="s">
        <v>611</v>
      </c>
      <c r="C71" s="380" t="s">
        <v>638</v>
      </c>
      <c r="D71" s="380" t="s">
        <v>64</v>
      </c>
    </row>
    <row r="72" spans="1:4">
      <c r="A72" t="s">
        <v>251</v>
      </c>
      <c r="B72" s="381" t="s">
        <v>628</v>
      </c>
      <c r="C72" s="380" t="s">
        <v>640</v>
      </c>
      <c r="D72" s="380" t="s">
        <v>64</v>
      </c>
    </row>
    <row r="73" spans="1:4">
      <c r="A73" t="s">
        <v>195</v>
      </c>
      <c r="B73" s="381" t="s">
        <v>628</v>
      </c>
      <c r="C73" s="380" t="s">
        <v>640</v>
      </c>
      <c r="D73" s="380" t="s">
        <v>64</v>
      </c>
    </row>
    <row r="74" spans="1:4">
      <c r="A74" t="s">
        <v>204</v>
      </c>
      <c r="B74" s="381" t="s">
        <v>628</v>
      </c>
      <c r="C74" s="380" t="s">
        <v>640</v>
      </c>
      <c r="D74" s="380" t="s">
        <v>64</v>
      </c>
    </row>
    <row r="75" spans="1:4">
      <c r="A75" t="s">
        <v>211</v>
      </c>
      <c r="B75" s="381" t="s">
        <v>628</v>
      </c>
      <c r="C75" s="380" t="s">
        <v>640</v>
      </c>
      <c r="D75" s="380" t="s">
        <v>64</v>
      </c>
    </row>
    <row r="76" spans="1:4">
      <c r="A76" s="376" t="s">
        <v>629</v>
      </c>
      <c r="B76" s="381" t="s">
        <v>609</v>
      </c>
      <c r="C76" s="380" t="s">
        <v>638</v>
      </c>
      <c r="D76" s="380" t="s">
        <v>24</v>
      </c>
    </row>
    <row r="77" spans="1:4">
      <c r="A77" t="s">
        <v>171</v>
      </c>
      <c r="B77" s="381" t="s">
        <v>613</v>
      </c>
      <c r="C77" s="380" t="s">
        <v>638</v>
      </c>
      <c r="D77" s="380" t="s">
        <v>24</v>
      </c>
    </row>
    <row r="78" spans="1:4">
      <c r="A78" t="s">
        <v>39</v>
      </c>
      <c r="B78" s="381" t="s">
        <v>620</v>
      </c>
      <c r="C78" s="380" t="s">
        <v>638</v>
      </c>
      <c r="D78" s="380" t="s">
        <v>64</v>
      </c>
    </row>
    <row r="79" spans="1:4">
      <c r="A79" t="s">
        <v>295</v>
      </c>
      <c r="B79" s="381" t="s">
        <v>625</v>
      </c>
      <c r="C79" s="380" t="s">
        <v>638</v>
      </c>
      <c r="D79" s="380" t="s">
        <v>24</v>
      </c>
    </row>
    <row r="80" spans="1:4">
      <c r="A80" t="s">
        <v>630</v>
      </c>
      <c r="B80" s="381" t="s">
        <v>475</v>
      </c>
      <c r="C80" s="380" t="s">
        <v>638</v>
      </c>
      <c r="D80" s="380" t="s">
        <v>24</v>
      </c>
    </row>
    <row r="81" spans="1:4">
      <c r="A81" t="s">
        <v>631</v>
      </c>
      <c r="B81" s="381" t="s">
        <v>632</v>
      </c>
      <c r="C81" s="380" t="s">
        <v>638</v>
      </c>
      <c r="D81" s="380" t="s">
        <v>24</v>
      </c>
    </row>
    <row r="82" spans="1:4">
      <c r="A82" t="s">
        <v>606</v>
      </c>
      <c r="B82" s="381" t="s">
        <v>617</v>
      </c>
      <c r="C82" s="380" t="s">
        <v>638</v>
      </c>
      <c r="D82" s="380" t="s">
        <v>64</v>
      </c>
    </row>
  </sheetData>
  <sortState ref="A2:B84">
    <sortCondition ref="A2"/>
  </sortState>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Datas</vt:lpstr>
      <vt:lpstr>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2026-01-22T14:20:31Z</dcterms:modified>
</cp:coreProperties>
</file>