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Master Datas" sheetId="1" state="visible" r:id="rId1"/>
    <sheet xmlns:r="http://schemas.openxmlformats.org/officeDocument/2006/relationships" name="Groups"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Times New Roman"/>
      <family val="1"/>
      <b val="1"/>
      <color rgb="FFFF0000"/>
      <sz val="10"/>
    </font>
    <font>
      <name val="Times New Roman"/>
      <family val="1"/>
      <b val="1"/>
      <color theme="1"/>
      <sz val="10"/>
    </font>
    <font>
      <name val="Times New Roman"/>
      <family val="1"/>
      <color theme="1"/>
      <sz val="10"/>
    </font>
    <font>
      <name val="Times New Roman"/>
      <family val="1"/>
      <sz val="10"/>
    </font>
    <font>
      <name val="Times New Roman"/>
      <family val="1"/>
      <color rgb="FFFF0000"/>
      <sz val="10"/>
    </font>
    <font>
      <name val="Calibri"/>
      <charset val="1"/>
      <family val="2"/>
      <b val="1"/>
      <color rgb="FF000000"/>
      <sz val="11"/>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808080"/>
        <bgColor rgb="FF9696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pivotButton="0" quotePrefix="0" xfId="0"/>
    <xf numFmtId="0" fontId="2" fillId="2" borderId="1" pivotButton="0" quotePrefix="0" xfId="0"/>
    <xf numFmtId="0" fontId="2" fillId="2" borderId="1" applyAlignment="1" pivotButton="0" quotePrefix="0" xfId="0">
      <alignment horizontal="center"/>
    </xf>
    <xf numFmtId="0" fontId="2" fillId="0" borderId="1" applyAlignment="1" pivotButton="0" quotePrefix="0" xfId="0">
      <alignment horizontal="center"/>
    </xf>
    <xf numFmtId="0" fontId="3" fillId="0" borderId="1" applyAlignment="1" pivotButton="0" quotePrefix="0" xfId="0">
      <alignment horizontal="center"/>
    </xf>
    <xf numFmtId="0" fontId="3" fillId="3" borderId="1" applyAlignment="1" pivotButton="0" quotePrefix="0" xfId="0">
      <alignment horizontal="center"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4" fillId="0" borderId="1" applyAlignment="1" pivotButton="0" quotePrefix="0" xfId="0">
      <alignment horizontal="center" vertical="top"/>
    </xf>
    <xf numFmtId="0" fontId="4" fillId="3" borderId="1" applyAlignment="1" pivotButton="0" quotePrefix="0" xfId="0">
      <alignment horizontal="left" vertical="top" wrapText="1"/>
    </xf>
    <xf numFmtId="2" fontId="4" fillId="3" borderId="1" applyAlignment="1" pivotButton="0" quotePrefix="0" xfId="0">
      <alignment horizontal="center" vertical="top" wrapText="1"/>
    </xf>
    <xf numFmtId="1" fontId="4" fillId="3" borderId="1" applyAlignment="1" pivotButton="0" quotePrefix="0" xfId="0">
      <alignment horizontal="center" vertical="top" wrapText="1"/>
    </xf>
    <xf numFmtId="2" fontId="4" fillId="3" borderId="1" applyAlignment="1" pivotButton="0" quotePrefix="0" xfId="0">
      <alignment horizontal="center" vertical="top"/>
    </xf>
    <xf numFmtId="0" fontId="5" fillId="3" borderId="1" applyAlignment="1" pivotButton="0" quotePrefix="0" xfId="0">
      <alignment horizontal="center" vertical="center" wrapText="1"/>
    </xf>
    <xf numFmtId="0" fontId="4" fillId="3" borderId="1" applyAlignment="1" pivotButton="0" quotePrefix="0" xfId="0">
      <alignment horizontal="center" vertical="top"/>
    </xf>
    <xf numFmtId="4" fontId="4" fillId="3" borderId="1" applyAlignment="1" pivotButton="0" quotePrefix="0" xfId="0">
      <alignment horizontal="center" vertical="top"/>
    </xf>
    <xf numFmtId="0" fontId="3" fillId="3" borderId="1" applyAlignment="1" pivotButton="0" quotePrefix="0" xfId="0">
      <alignment horizontal="left" vertical="top" wrapText="1"/>
    </xf>
    <xf numFmtId="2" fontId="3" fillId="3" borderId="1" applyAlignment="1" pivotButton="0" quotePrefix="0" xfId="0">
      <alignment horizontal="center" vertical="top" wrapText="1"/>
    </xf>
    <xf numFmtId="0" fontId="5" fillId="3"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2" fontId="3" fillId="0" borderId="1" applyAlignment="1" pivotButton="0" quotePrefix="0" xfId="0">
      <alignment horizontal="center" vertical="top" wrapText="1"/>
    </xf>
    <xf numFmtId="0" fontId="5" fillId="3" borderId="1" applyAlignment="1" pivotButton="0" quotePrefix="0" xfId="0">
      <alignment horizontal="center" vertical="center"/>
    </xf>
    <xf numFmtId="0" fontId="6" fillId="3" borderId="1" applyAlignment="1" pivotButton="0" quotePrefix="0" xfId="0">
      <alignment horizontal="center"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horizontal="center" vertical="top"/>
    </xf>
    <xf numFmtId="0" fontId="0" fillId="0" borderId="0" applyAlignment="1" pivotButton="0" quotePrefix="0" xfId="0">
      <alignment horizontal="center"/>
    </xf>
    <xf numFmtId="0" fontId="1" fillId="0" borderId="0" pivotButton="0" quotePrefix="0" xfId="0"/>
    <xf numFmtId="0" fontId="7" fillId="4" borderId="1" applyAlignment="1" pivotButton="0" quotePrefix="0" xfId="0">
      <alignment horizontal="left"/>
    </xf>
    <xf numFmtId="0" fontId="0" fillId="0" borderId="1" pivotButton="0" quotePrefix="0" xfId="0"/>
    <xf numFmtId="0" fontId="0"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styles" Target="styles.xml" Id="rId10"/><Relationship Type="http://schemas.openxmlformats.org/officeDocument/2006/relationships/theme" Target="theme/theme1.xml" Id="rId11"/></Relationships>
</file>

<file path=xl/externalLinks/_rels/externalLink1.xml.rels><Relationships xmlns="http://schemas.openxmlformats.org/package/2006/relationships"><Relationship Type="http://schemas.openxmlformats.org/officeDocument/2006/relationships/externalLinkPath" Target="file:///\\Contract-aruna\public_aruna\Public_Aruna\contracts(ak)\Hyderabad\Mes\MES-SEC.xls" TargetMode="External" Id="rId1"/></Relationships>
</file>

<file path=xl/externalLinks/_rels/externalLink2.xml.rels><Relationships xmlns="http://schemas.openxmlformats.org/package/2006/relationships"><Relationship Type="http://schemas.openxmlformats.org/officeDocument/2006/relationships/externalLinkPath" Target="file:///E:\New%20folder\Est%202012-13\Work%20completed%20works%20for%20the%20year%202012-013\S.C.J.%20Court%20putter%2016-7-2012\senior%20civil%20judge%20court%20bld%20puttur.xls" TargetMode="External" Id="rId1"/></Relationships>
</file>

<file path=xl/externalLinks/_rels/externalLink3.xml.rels><Relationships xmlns="http://schemas.openxmlformats.org/package/2006/relationships"><Relationship Type="http://schemas.openxmlformats.org/officeDocument/2006/relationships/externalLinkPath" Target="file:///D:\Users\ELECTRICAL\Desktop\rajani%20kanth\Estimates%202018\New%20folder\Users\ajay%201\Desktop\C:\Users\roohithakur\Downloads\BOQ%20designer%20with%20July%202016%20pricing1" TargetMode="External" Id="rId1"/></Relationships>
</file>

<file path=xl/externalLinks/_rels/externalLink4.xml.rels><Relationships xmlns="http://schemas.openxmlformats.org/package/2006/relationships"><Relationship Type="http://schemas.microsoft.com/office/2006/relationships/xlExternalLinkPath/xlPathMissing" Target="Book1" TargetMode="External" Id="rId1"/></Relationships>
</file>

<file path=xl/externalLinks/_rels/externalLink5.xml.rels><Relationships xmlns="http://schemas.openxmlformats.org/package/2006/relationships"><Relationship Type="http://schemas.openxmlformats.org/officeDocument/2006/relationships/externalLinkPath" Target="file:///E:\New%20folder\court%20bld%20generater%20works\N%20H%20File%20from%20VJA\Bhimavaram\Mtc\214-A%20Mtc..XLS" TargetMode="External" Id="rId1"/></Relationships>
</file>

<file path=xl/externalLinks/_rels/externalLink6.xml.rels><Relationships xmlns="http://schemas.openxmlformats.org/package/2006/relationships"><Relationship Type="http://schemas.openxmlformats.org/officeDocument/2006/relationships/externalLinkPath" Target="file:///D:\Users\ELECTRICAL\Desktop\rajani%20kanth\Estimates%202018\New%20folder\Users\ajay%201\Desktop\C:\C\Users\deepak.garcia\Desktop\rev09.xls" TargetMode="External" Id="rId1"/></Relationships>
</file>

<file path=xl/externalLinks/_rels/externalLink7.xml.rels><Relationships xmlns="http://schemas.openxmlformats.org/package/2006/relationships"><Relationship Type="http://schemas.openxmlformats.org/officeDocument/2006/relationships/externalLinkPath" Target="file:///C:\Users\mohd%20altaf\Contacts\Desktop\Desktop\Estimates\ASSEMBLY%20ESTIMATES\Commt%20Hall%20II%20III\Cmmittee%20hall%202%20&amp;%203%20est.%20revise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RT-I (2)"/>
      <sheetName val="ANALY-BOQ"/>
      <sheetName val="ANALYS-LS"/>
      <sheetName val="BOQ"/>
      <sheetName val="PART-I"/>
      <sheetName val="I-11"/>
      <sheetName val="I-15"/>
      <sheetName val="sumps"/>
      <sheetName val="GATES(21,22)"/>
      <sheetName val="final abstract"/>
      <sheetName val="Bed Class"/>
      <sheetName val="Cd"/>
      <sheetName val="Fee Rate Summary"/>
      <sheetName val="Basement Budget"/>
      <sheetName val="RECAPITULATION"/>
      <sheetName val="Rate analysis"/>
      <sheetName val="Break up Sheet"/>
      <sheetName val="TBAL9697 -group wise  sdpl"/>
      <sheetName val="B &amp; C - M - ccp"/>
      <sheetName val="Old"/>
      <sheetName val="Materials Cost"/>
      <sheetName val="10. &amp; 11. Rate Code &amp; BQ"/>
      <sheetName val="Main-Material"/>
      <sheetName val="COLUMN"/>
      <sheetName val="RES STEEL TO"/>
      <sheetName val="SUmmary-RMZ"/>
      <sheetName val="RMZ Summary"/>
      <sheetName val="sept-plan"/>
      <sheetName val="Site Dev BOQ"/>
      <sheetName val="Costing"/>
      <sheetName val="Staff Forecast spread"/>
      <sheetName val="Fin Sum"/>
      <sheetName val="Field Values"/>
      <sheetName val="Rates"/>
      <sheetName val="PH data"/>
      <sheetName val="labour"/>
      <sheetName val="Details (3)"/>
      <sheetName val="Rates-May-14"/>
      <sheetName val="rdamdata"/>
      <sheetName val="Estimate "/>
      <sheetName val="HDPE"/>
      <sheetName val="Load Details(B1)"/>
      <sheetName val="RA-markate"/>
      <sheetName val="Structure Bills Qty"/>
      <sheetName val="Fill this out first..."/>
      <sheetName val="Micro"/>
      <sheetName val="Macro"/>
      <sheetName val="Scaff-Rose"/>
      <sheetName val="Builtup Area"/>
      <sheetName val="analysis"/>
      <sheetName val="Headings"/>
      <sheetName val="MASTER_RATE ANALYSIS"/>
      <sheetName val="cubes_M20"/>
      <sheetName val="A"/>
      <sheetName val="Cop -VGN"/>
      <sheetName val="CASHFLOWS"/>
      <sheetName val="SUMMARY"/>
      <sheetName val="Sheet2"/>
      <sheetName val="dyes"/>
      <sheetName val="Sheet3"/>
      <sheetName val="UTILITY"/>
      <sheetName val="경비공통"/>
      <sheetName val="Input"/>
      <sheetName val="Activity"/>
      <sheetName val="Crew"/>
      <sheetName val="Piping"/>
      <sheetName val="Pipe Supports"/>
      <sheetName val="S1BOQ"/>
      <sheetName val="2gii"/>
      <sheetName val="Manpower"/>
      <sheetName val="HPL"/>
      <sheetName val="월선수금"/>
      <sheetName val="Materials "/>
      <sheetName val="strand"/>
      <sheetName val="BOQ_Direct_selling cost"/>
      <sheetName val="Stress Calculation"/>
      <sheetName val="VIWSCo1"/>
      <sheetName val="IO List"/>
      <sheetName val="MN T.B."/>
      <sheetName val="database"/>
      <sheetName val="Coalmine"/>
      <sheetName val="A1-Continuous"/>
      <sheetName val="starter"/>
      <sheetName val="Preside"/>
      <sheetName val="Summary_Local"/>
      <sheetName val="factor sheet"/>
      <sheetName val="RA"/>
      <sheetName val="Factor_Sheet"/>
      <sheetName val="Exp."/>
      <sheetName val="Factors"/>
      <sheetName val="INDIGINEOUS ITEMS "/>
      <sheetName val="BLK2"/>
      <sheetName val="BLK3"/>
      <sheetName val="E &amp; R"/>
      <sheetName val="radar"/>
      <sheetName val="UG"/>
      <sheetName val="Sheet1"/>
      <sheetName val="Lead"/>
      <sheetName val="Usage"/>
      <sheetName val="Common "/>
      <sheetName val="General"/>
      <sheetName val="PART-I_(2)"/>
      <sheetName val="final_abstract"/>
      <sheetName val="Config"/>
      <sheetName val="Break Dw"/>
      <sheetName val="Design"/>
      <sheetName val="SPT vs PHI"/>
      <sheetName val="Civil Boq"/>
      <sheetName val="PA- Consutant "/>
      <sheetName val="Debits as on 12.04.08"/>
      <sheetName val="Sheet3 (2)"/>
      <sheetName val="BOQ (2)"/>
      <sheetName val="GBW"/>
      <sheetName val="FitOutConfCentr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MES-SEC"/>
      <sheetName val="VCH-SLC"/>
      <sheetName val="Supplier"/>
      <sheetName val="THK"/>
      <sheetName val="Data"/>
      <sheetName val="Analy_7-10"/>
      <sheetName val="INDORAMA Group June 02"/>
      <sheetName val="INPUT-DATA1"/>
      <sheetName val="col-reinft1"/>
      <sheetName val="대외공문"/>
      <sheetName val="Build-up"/>
      <sheetName val="FORM7"/>
      <sheetName val="RCC,Ret. Wall"/>
      <sheetName val="RA 4 Challan Summary "/>
      <sheetName val="p&amp;m"/>
      <sheetName val="Labour productivity"/>
      <sheetName val="labour coeff"/>
      <sheetName val="COST"/>
      <sheetName val="Formulas"/>
      <sheetName val="For Bill-04 PS"/>
      <sheetName val="Desgn(zone I)"/>
      <sheetName val="M B-QtyRecn"/>
      <sheetName val="Quotation"/>
      <sheetName val="Sqn _Main_ Abs"/>
      <sheetName val="ORDER BOOKING"/>
      <sheetName val="Mat.Cost"/>
      <sheetName val="Staff Acco."/>
      <sheetName val="Section Catalogue"/>
      <sheetName val="#REF!"/>
      <sheetName val="lookup"/>
      <sheetName val="Approved MTD Proj #'s"/>
      <sheetName val="Basement_Budget"/>
      <sheetName val="Rate_analysis"/>
      <sheetName val="Break_up_Sheet"/>
      <sheetName val="B_&amp;_C_-_M_-_ccp"/>
      <sheetName val="Fee_Rate_Summary"/>
      <sheetName val="Materials_Cost"/>
      <sheetName val="10__&amp;_11__Rate_Code_&amp;_BQ"/>
      <sheetName val="RES_STEEL_TO"/>
      <sheetName val="RMZ_Summary"/>
      <sheetName val="Fill_this_out_first___"/>
      <sheetName val="Cop_-VGN"/>
      <sheetName val="Field_Values"/>
      <sheetName val="Fin_Sum"/>
      <sheetName val="Materials_"/>
      <sheetName val="Structure_Bills_Qty"/>
      <sheetName val="Builtup_Area"/>
      <sheetName val="MASTER_RATE_ANALYSIS"/>
      <sheetName val="SPT_vs_PHI"/>
      <sheetName val="Delhi"/>
      <sheetName val="Site_Dev_BOQ"/>
      <sheetName val="Staff_Forecast_spread"/>
      <sheetName val="INDORAMA_Group_June_02"/>
      <sheetName val="Pipe_Supports"/>
      <sheetName val="RCC,Ret__Wall"/>
      <sheetName val="RA_4_Challan_Summary_"/>
      <sheetName val="Labour_productivity"/>
      <sheetName val="labour_coeff"/>
      <sheetName val="PART-I_(2)1"/>
      <sheetName val="final_abstract1"/>
      <sheetName val="Fee_Rate_Summary1"/>
      <sheetName val="Basement_Budget1"/>
      <sheetName val="Rate_analysis1"/>
      <sheetName val="Materials_Cost1"/>
      <sheetName val="Break_up_Sheet1"/>
      <sheetName val="RES_STEEL_TO1"/>
      <sheetName val="10__&amp;_11__Rate_Code_&amp;_BQ1"/>
      <sheetName val="B_&amp;_C_-_M_-_ccp1"/>
      <sheetName val="RMZ_Summary1"/>
      <sheetName val="Fin_Sum1"/>
      <sheetName val="Fill_this_out_first___1"/>
      <sheetName val="Site_Dev_BOQ1"/>
      <sheetName val="Staff_Forecast_spread1"/>
      <sheetName val="Field_Values1"/>
      <sheetName val="INDORAMA_Group_June_021"/>
      <sheetName val="Pipe_Supports1"/>
      <sheetName val="RCC,Ret__Wall1"/>
      <sheetName val="RA_4_Challan_Summary_1"/>
      <sheetName val="Labour_productivity1"/>
      <sheetName val="labour_coeff1"/>
      <sheetName val="BOQ_Direct_selling_cost"/>
      <sheetName val="Stress_Calculation"/>
      <sheetName val="IO_List"/>
      <sheetName val="MN_T_B_"/>
      <sheetName val="Exp_"/>
      <sheetName val="INDIGINEOUS_ITEMS_"/>
      <sheetName val="E_&amp;_R"/>
      <sheetName val="Civil_Boq"/>
      <sheetName val="beam-reinft-IIInd floor"/>
      <sheetName val="CABLE DATA"/>
      <sheetName val="gen"/>
      <sheetName val="目录"/>
      <sheetName val="Lowside"/>
      <sheetName val="Measurements"/>
      <sheetName val="Tables"/>
      <sheetName val="Flooring"/>
      <sheetName val="Ceilings"/>
      <sheetName val="ACAD Finishes"/>
      <sheetName val="Site Details"/>
      <sheetName val="Chair"/>
      <sheetName val="Site Area Statement"/>
      <sheetName val="Doors"/>
      <sheetName val="Estimate"/>
      <sheetName val="Material "/>
      <sheetName val="std.wt."/>
      <sheetName val="BOQ-Tower"/>
      <sheetName val="RES-PLANNING"/>
      <sheetName val="Interior"/>
      <sheetName val="parametry"/>
      <sheetName val="VARIABLE"/>
      <sheetName val="#REF"/>
      <sheetName val="BOQ civil"/>
      <sheetName val="PRECAST lightconc-II"/>
      <sheetName val="선수금"/>
      <sheetName val="jobhist"/>
      <sheetName val="Code"/>
      <sheetName val="Set"/>
      <sheetName val="Summary_Bank"/>
      <sheetName val="Staircase "/>
      <sheetName val="Voucher"/>
      <sheetName val="TBAL9697_-group_wise__sdpl"/>
      <sheetName val="Break_Dw"/>
      <sheetName val="Load_Details(B1)"/>
      <sheetName val="PA-_Consutant_"/>
      <sheetName val="Debits_as_on_12_04_08"/>
      <sheetName val="Desgn(zone_I)"/>
      <sheetName val="Bed_Class"/>
      <sheetName val="PART-I_(2)2"/>
      <sheetName val="final_abstract2"/>
      <sheetName val="Structure_Bills_Qty1"/>
      <sheetName val="Builtup_Area1"/>
      <sheetName val="MASTER_RATE_ANALYSIS1"/>
      <sheetName val="Cop_-VGN1"/>
      <sheetName val="Materials_1"/>
      <sheetName val="MN_T_B_1"/>
      <sheetName val="BOQ_Direct_selling_cost1"/>
      <sheetName val="Stress_Calculation1"/>
      <sheetName val="IO_List1"/>
      <sheetName val="E_&amp;_R1"/>
      <sheetName val="Exp_1"/>
      <sheetName val="INDIGINEOUS_ITEMS_1"/>
      <sheetName val="TBAL9697_-group_wise__sdpl1"/>
      <sheetName val="Break_Dw1"/>
      <sheetName val="Load_Details(B1)1"/>
      <sheetName val="SPT_vs_PHI1"/>
      <sheetName val="Civil_Boq1"/>
      <sheetName val="PA-_Consutant_1"/>
      <sheetName val="Debits_as_on_12_04_081"/>
      <sheetName val="Desgn(zone_I)1"/>
      <sheetName val="Bed_Class1"/>
      <sheetName val="PART-I_(2)3"/>
      <sheetName val="final_abstract3"/>
      <sheetName val="Fee_Rate_Summary2"/>
      <sheetName val="Basement_Budget2"/>
      <sheetName val="Rate_analysis2"/>
      <sheetName val="Materials_Cost2"/>
      <sheetName val="10__&amp;_11__Rate_Code_&amp;_BQ2"/>
      <sheetName val="Break_up_Sheet2"/>
      <sheetName val="B_&amp;_C_-_M_-_ccp2"/>
      <sheetName val="RES_STEEL_TO2"/>
      <sheetName val="RMZ_Summary2"/>
      <sheetName val="Pipe_Supports2"/>
      <sheetName val="Field_Values2"/>
      <sheetName val="Fin_Sum2"/>
      <sheetName val="Fill_this_out_first___2"/>
      <sheetName val="Site_Dev_BOQ2"/>
      <sheetName val="Staff_Forecast_spread2"/>
      <sheetName val="Structure_Bills_Qty2"/>
      <sheetName val="Builtup_Area2"/>
      <sheetName val="MASTER_RATE_ANALYSIS2"/>
      <sheetName val="Cop_-VGN2"/>
      <sheetName val="Materials_2"/>
      <sheetName val="MN_T_B_2"/>
      <sheetName val="BOQ_Direct_selling_cost2"/>
      <sheetName val="Stress_Calculation2"/>
      <sheetName val="IO_List2"/>
      <sheetName val="E_&amp;_R2"/>
      <sheetName val="factor_sheet1"/>
      <sheetName val="Exp_2"/>
      <sheetName val="INDIGINEOUS_ITEMS_2"/>
      <sheetName val="TBAL9697_-group_wise__sdpl2"/>
      <sheetName val="Break_Dw2"/>
      <sheetName val="Load_Details(B1)2"/>
      <sheetName val="SPT_vs_PHI2"/>
      <sheetName val="Civil_Boq2"/>
      <sheetName val="PA-_Consutant_2"/>
      <sheetName val="Debits_as_on_12_04_082"/>
      <sheetName val="INDORAMA_Group_June_022"/>
      <sheetName val="Desgn(zone_I)2"/>
      <sheetName val="Bed_Class2"/>
      <sheetName val="PART-I_(2)4"/>
      <sheetName val="final_abstract4"/>
      <sheetName val="Fee_Rate_Summary3"/>
      <sheetName val="Basement_Budget3"/>
      <sheetName val="Rate_analysis3"/>
      <sheetName val="Materials_Cost3"/>
      <sheetName val="10__&amp;_11__Rate_Code_&amp;_BQ3"/>
      <sheetName val="Break_up_Sheet3"/>
      <sheetName val="B_&amp;_C_-_M_-_ccp3"/>
      <sheetName val="RES_STEEL_TO3"/>
      <sheetName val="RMZ_Summary3"/>
      <sheetName val="Pipe_Supports3"/>
      <sheetName val="Field_Values3"/>
      <sheetName val="Fin_Sum3"/>
      <sheetName val="Fill_this_out_first___3"/>
      <sheetName val="Site_Dev_BOQ3"/>
      <sheetName val="Staff_Forecast_spread3"/>
      <sheetName val="Structure_Bills_Qty3"/>
      <sheetName val="Builtup_Area3"/>
      <sheetName val="MASTER_RATE_ANALYSIS3"/>
      <sheetName val="Cop_-VGN3"/>
      <sheetName val="Materials_3"/>
      <sheetName val="MN_T_B_3"/>
      <sheetName val="BOQ_Direct_selling_cost3"/>
      <sheetName val="Stress_Calculation3"/>
      <sheetName val="IO_List3"/>
      <sheetName val="E_&amp;_R3"/>
      <sheetName val="Exp_3"/>
      <sheetName val="INDIGINEOUS_ITEMS_3"/>
      <sheetName val="TBAL9697_-group_wise__sdpl3"/>
      <sheetName val="Break_Dw3"/>
      <sheetName val="Load_Details(B1)3"/>
      <sheetName val="SPT_vs_PHI3"/>
      <sheetName val="Civil_Boq3"/>
      <sheetName val="PA-_Consutant_3"/>
      <sheetName val="Debits_as_on_12_04_083"/>
      <sheetName val="INDORAMA_Group_June_023"/>
      <sheetName val="Desgn(zone_I)3"/>
      <sheetName val="Bed_Class3"/>
      <sheetName val="M_B-QtyRecn"/>
      <sheetName val="PART-I_(2)5"/>
      <sheetName val="final_abstract5"/>
      <sheetName val="Fee_Rate_Summary4"/>
      <sheetName val="Basement_Budget4"/>
      <sheetName val="Rate_analysis4"/>
      <sheetName val="Materials_Cost4"/>
      <sheetName val="10__&amp;_11__Rate_Code_&amp;_BQ4"/>
      <sheetName val="Break_up_Sheet4"/>
      <sheetName val="B_&amp;_C_-_M_-_ccp4"/>
      <sheetName val="RES_STEEL_TO4"/>
      <sheetName val="RMZ_Summary4"/>
      <sheetName val="Pipe_Supports4"/>
      <sheetName val="Field_Values4"/>
      <sheetName val="Fin_Sum4"/>
      <sheetName val="Fill_this_out_first___4"/>
      <sheetName val="Site_Dev_BOQ4"/>
      <sheetName val="Staff_Forecast_spread4"/>
      <sheetName val="Structure_Bills_Qty4"/>
      <sheetName val="Builtup_Area4"/>
      <sheetName val="MASTER_RATE_ANALYSIS4"/>
      <sheetName val="Cop_-VGN4"/>
      <sheetName val="Materials_4"/>
      <sheetName val="MN_T_B_4"/>
      <sheetName val="BOQ_Direct_selling_cost4"/>
      <sheetName val="Stress_Calculation4"/>
      <sheetName val="IO_List4"/>
      <sheetName val="E_&amp;_R4"/>
      <sheetName val="factor_sheet2"/>
      <sheetName val="Exp_4"/>
      <sheetName val="INDIGINEOUS_ITEMS_4"/>
      <sheetName val="TBAL9697_-group_wise__sdpl4"/>
      <sheetName val="Break_Dw4"/>
      <sheetName val="Load_Details(B1)4"/>
      <sheetName val="SPT_vs_PHI4"/>
      <sheetName val="Civil_Boq4"/>
      <sheetName val="PA-_Consutant_4"/>
      <sheetName val="Debits_as_on_12_04_084"/>
      <sheetName val="INDORAMA_Group_June_024"/>
      <sheetName val="Desgn(zone_I)4"/>
      <sheetName val="Bed_Class4"/>
      <sheetName val="M_B-QtyRecn1"/>
      <sheetName val="det_est"/>
      <sheetName val="Aseet1998"/>
      <sheetName val="PACK (B)"/>
      <sheetName val="M-Book for Conc"/>
      <sheetName val="M-Book for FW"/>
      <sheetName val="concrete"/>
      <sheetName val="GR.slab-reinft"/>
      <sheetName val="SCHEDULE"/>
      <sheetName val="NLD - Assum"/>
      <sheetName val="Capex-fixed"/>
      <sheetName val="schedule nos"/>
      <sheetName val="CPIPE"/>
      <sheetName val="bill 2"/>
      <sheetName val="office"/>
      <sheetName val="Lab"/>
      <sheetName val="Material&amp;equipment"/>
      <sheetName val="SOR"/>
      <sheetName val="INPUT SHEET"/>
      <sheetName val="train cash"/>
      <sheetName val="accom cash"/>
      <sheetName val="Column Steel-R2"/>
      <sheetName val="purpose&amp;input"/>
      <sheetName val="newsales"/>
      <sheetName val="Meas.-Hotel Part"/>
      <sheetName val="Pay_Sep06"/>
      <sheetName val="QS Name"/>
      <sheetName val="CANDY BOQ"/>
      <sheetName val="Detail"/>
      <sheetName val="B1"/>
      <sheetName val="WORK TABLE"/>
      <sheetName val="220 11  BS "/>
      <sheetName val="Intro."/>
      <sheetName val="Cable-data"/>
      <sheetName val="Register"/>
      <sheetName val="d-safe specs"/>
      <sheetName val="d-safe DELUXE"/>
      <sheetName val="Diawise steel abstract"/>
      <sheetName val="SUMMARY-client"/>
      <sheetName val="Rising Main"/>
      <sheetName val="LTG-STG"/>
      <sheetName val="CCTV_EST1"/>
      <sheetName val="TOTAL SUMMARY"/>
      <sheetName val="QTY"/>
      <sheetName val="01"/>
      <sheetName val="MFG"/>
      <sheetName val="BOQ_(2)"/>
      <sheetName val="ACAD_Finishes"/>
      <sheetName val="Site_Details"/>
      <sheetName val="Site_Area_Statement"/>
      <sheetName val="Balustrade"/>
      <sheetName val="CFForecast detail"/>
      <sheetName val="Cash Flows &amp; IRR"/>
      <sheetName val="Model (Not Merged)"/>
      <sheetName val="QCEQPT-owned"/>
      <sheetName val="Tender Summary"/>
      <sheetName val="협조전"/>
      <sheetName val="INFRA-CONTRACOR"/>
      <sheetName val="Excavation"/>
      <sheetName val="RCC"/>
      <sheetName val=" Block work"/>
      <sheetName val="Plaster"/>
      <sheetName val="Flooring &amp; Road"/>
      <sheetName val="CHintamani"/>
      <sheetName val="SSF"/>
      <sheetName val="Plumbing"/>
      <sheetName val="Cement"/>
      <sheetName val="BOM "/>
      <sheetName val="SUBMITED bISS"/>
      <sheetName val="Retaing wall"/>
      <sheetName val="Internet"/>
      <sheetName val="Introduction"/>
      <sheetName val="Operating Statistics"/>
      <sheetName val="Financials"/>
      <sheetName val="TS-TC"/>
      <sheetName val="1"/>
      <sheetName val="대비표"/>
      <sheetName val="except wiring"/>
      <sheetName val="Cs"/>
      <sheetName val="CPIPE 1"/>
      <sheetName val="beam-reinft-machine rm"/>
      <sheetName val="B3-B4-B5-B6"/>
      <sheetName val="AK-Offertstammblatt"/>
      <sheetName val="intr stool brkup"/>
      <sheetName val="P4-BOQ"/>
      <sheetName val="3. Elemental Summary"/>
      <sheetName val="upa"/>
      <sheetName val="Material Rate"/>
      <sheetName val="Conc_Analysis"/>
      <sheetName val="Assumptions"/>
      <sheetName val="discounts_XP140"/>
      <sheetName val="Occ, Other Rev, Exp, Dispo"/>
      <sheetName val="Detail In Door Stad"/>
      <sheetName val="SGS ACQ"/>
      <sheetName val="pvc"/>
      <sheetName val="DATA-2005-06"/>
      <sheetName val="Labour &amp; Plant"/>
      <sheetName val="ssr-rates"/>
      <sheetName val="leads"/>
      <sheetName val="pvc_basic"/>
      <sheetName val="Data.F8.BTR"/>
      <sheetName val="Works - Quote Sheet"/>
      <sheetName val="Form 6"/>
      <sheetName val="Lead statement"/>
      <sheetName val="Flight-1"/>
      <sheetName val="BOM"/>
      <sheetName val="Price Schedule"/>
      <sheetName val="Mat_Cost"/>
      <sheetName val="Cost_Any."/>
      <sheetName val="Ratio"/>
      <sheetName val="S &amp; A"/>
      <sheetName val="Mat_Cost1"/>
      <sheetName val="Price_Schedule"/>
      <sheetName val="S_&amp;_A"/>
      <sheetName val="Cost_Any_"/>
      <sheetName val="PointNo.5"/>
      <sheetName val="Mat_Cost2"/>
      <sheetName val="Price_Schedule1"/>
      <sheetName val="S_&amp;_A1"/>
      <sheetName val="Cost_Any_1"/>
      <sheetName val="Cost_any"/>
      <sheetName val="lead-st"/>
      <sheetName val="r"/>
      <sheetName val="mlead"/>
      <sheetName val="RMR"/>
      <sheetName val="Amendments"/>
      <sheetName val="Bld.SSR"/>
      <sheetName val="SSR -Sani "/>
      <sheetName val="Elec.SSR"/>
      <sheetName val="Irri-SSR"/>
      <sheetName val="PH- SSR"/>
      <sheetName val="R &amp; B.SSR"/>
      <sheetName val="RCC Pipes"/>
      <sheetName val="PH-HDPE"/>
      <sheetName val="PH-PVC"/>
      <sheetName val="DI-Pipes &amp; Spe"/>
      <sheetName val="CI.Spe"/>
      <sheetName val="DI-Valves"/>
      <sheetName val="CI-Valves"/>
      <sheetName val="Bolts&amp; rings"/>
      <sheetName val="MH-Covers"/>
      <sheetName val="Notes"/>
      <sheetName val="Dist.Lines-150-old"/>
      <sheetName val="NW-GA"/>
      <sheetName val="GA-GVMC -NW(Com) "/>
      <sheetName val="GA-GVMC -NW "/>
      <sheetName val="Dist.Lines-100"/>
      <sheetName val="Dist-Lines -500"/>
      <sheetName val="Dist-Lines"/>
      <sheetName val="Dist.Lines-150"/>
      <sheetName val="GA-GVMC -NW  (2)"/>
      <sheetName val="GA-GVMC -NW. "/>
      <sheetName val="Dist-Lines B-1 "/>
      <sheetName val="Dist-Lines-Final checked"/>
      <sheetName val="Pumping mains-"/>
      <sheetName val="Feeder main-old"/>
      <sheetName val="Dist-Lines -B-2"/>
      <sheetName val="Dist-Lines -B-3"/>
      <sheetName val="Dist-Lines B-4"/>
      <sheetName val="Dist-Lines B-5"/>
      <sheetName val="Dist-Lines -B-6"/>
      <sheetName val="Dist-Lines -B-7"/>
      <sheetName val="Dist-Lines -B-8"/>
      <sheetName val="Dist-Lines -B-9"/>
      <sheetName val="Dist-Lines -B-10"/>
      <sheetName val="Dist-Lines -B-11"/>
      <sheetName val="Dist-Lines -B-12"/>
      <sheetName val="Dist-Lines -B-13"/>
      <sheetName val="Dist-Lines -B-14"/>
      <sheetName val="Dist-Lines -B-15"/>
      <sheetName val="Dist-Lines -B-16"/>
      <sheetName val="Feeder mains- 1"/>
      <sheetName val="Feeder mains- 2"/>
      <sheetName val="Feeder mains- (1)"/>
      <sheetName val="Feeder mains-up to 800"/>
      <sheetName val="Pumping Main-800mm"/>
      <sheetName val="ELSR-600 KL-Z-2"/>
      <sheetName val="750 KL GLSR-Z-3"/>
      <sheetName val="ELSR-750 KL-Z-3"/>
      <sheetName val="ELSR-500 KL-Z-4"/>
      <sheetName val="500 KL GLSR-Z-4"/>
      <sheetName val="ELSR-200KL-Z-7"/>
      <sheetName val="ELSR-1850 KL-Z-8"/>
      <sheetName val="1850 KL GLSR-Z-8"/>
      <sheetName val="ELSR-200KL-Z-9"/>
      <sheetName val="800 KL GLSR-Z-11"/>
      <sheetName val="900 KL GLSR-Z-12"/>
      <sheetName val="ELSR-2500 KL-Z-13"/>
      <sheetName val="ELSR-2400 KL-Z-14"/>
      <sheetName val="ELSR-1200 KL-Z-15"/>
      <sheetName val="ELSR-2000 KL-Z-16"/>
      <sheetName val="Pumping Main-500mm-(2)"/>
      <sheetName val="Pumping Main-450mm-(3)"/>
      <sheetName val="Pumping Main-(4)"/>
      <sheetName val="350 KL GLSR"/>
      <sheetName val="1000 KL Sump-"/>
      <sheetName val="1000 KL MBR"/>
      <sheetName val="MBR-1000 KL"/>
      <sheetName val="Pump room-12x8"/>
      <sheetName val="HSC"/>
      <sheetName val="B.F.Meters"/>
      <sheetName val="BOQ Distribution"/>
      <sheetName val="IS"/>
      <sheetName val="EDWise"/>
      <sheetName val="Version"/>
      <sheetName val="환율"/>
      <sheetName val="B"/>
      <sheetName val="Vind - BtB"/>
      <sheetName val="PriceSummary"/>
      <sheetName val="A.O.R."/>
      <sheetName val="sheeet7"/>
      <sheetName val="RAJU ASSO"/>
      <sheetName val="소상 &quot;1&quot;"/>
      <sheetName val="Discount &amp; Margin"/>
      <sheetName val="Estimate 10.00 Lakhs "/>
      <sheetName val="abs road"/>
      <sheetName val="coverpage"/>
      <sheetName val="Road data"/>
      <sheetName val="R_Det"/>
      <sheetName val="Pump sets"/>
      <sheetName val="Pump sets (2)"/>
      <sheetName val="Gen sets"/>
      <sheetName val="PR Valves"/>
      <sheetName val="W.man.Qrt-"/>
      <sheetName val="O &amp;M"/>
      <sheetName val="Generator Room-1"/>
      <sheetName val="200 KL GLSR-6 (2)"/>
      <sheetName val="500 KL Sump-(1)"/>
      <sheetName val="250 KL Sump-(3)"/>
      <sheetName val="Office - MBR"/>
      <sheetName val="HSC (2)"/>
      <sheetName val="O&amp;M"/>
      <sheetName val="Gen sets (2)"/>
      <sheetName val="Transfarmer"/>
      <sheetName val="C-Mat-Gen"/>
      <sheetName val="Convey"/>
      <sheetName val="Sheet1 (2)"/>
      <sheetName val="Hire"/>
      <sheetName val="Mortars,"/>
      <sheetName val="Cent'g-1"/>
      <sheetName val="Cent'g-2"/>
      <sheetName val="Loading"/>
      <sheetName val="Dismantling"/>
      <sheetName val="DI pipes"/>
      <sheetName val="DI-Spe-1"/>
      <sheetName val="Wt.of DI Spe."/>
      <sheetName val="HDPE pipes"/>
      <sheetName val="HDPE-Spe"/>
      <sheetName val="RCC-PE"/>
      <sheetName val="RCC SS"/>
      <sheetName val="CI Spe."/>
      <sheetName val="PVC-WS"/>
      <sheetName val="ELSR-2"/>
      <sheetName val="data-ELSR "/>
      <sheetName val="Lowering"/>
      <sheetName val="data-Water Supply"/>
      <sheetName val="Sump &amp; ST"/>
      <sheetName val="Chamber-1"/>
      <sheetName val="Bld.Stnd,Data"/>
      <sheetName val="Bld up to 3F"/>
      <sheetName val="CC road"/>
      <sheetName val="EWE-Roads"/>
      <sheetName val="Dist Lines"/>
      <sheetName val="Feeder mains-2"/>
      <sheetName val="Gravity Main-900mm"/>
      <sheetName val="550 KL Sump-1"/>
      <sheetName val="550 KL Sump-2"/>
      <sheetName val="ELSR-1200 KL"/>
      <sheetName val="650 KL GLSR (2)"/>
      <sheetName val="850 KL GLSR "/>
      <sheetName val="500 KL sump"/>
      <sheetName val="200 KL- ELSR Yelluru"/>
      <sheetName val="Dist-Zone-below 50000"/>
      <sheetName val="Data -O&amp;M"/>
      <sheetName val="Lengths-Tandur"/>
      <sheetName val="Bld-Total"/>
      <sheetName val="Pumping main-350mm"/>
      <sheetName val="Details"/>
      <sheetName val="Dist-est"/>
      <sheetName val="info-1"/>
      <sheetName val="Inf.Well"/>
      <sheetName val="Approah road to MBR"/>
      <sheetName val="Approach Roads-Source"/>
      <sheetName val="Dist-Zone-1"/>
      <sheetName val="400mm-P.Main"/>
      <sheetName val="Rates-ELSR,Filters"/>
      <sheetName val="13 Mld-WTP"/>
      <sheetName val="data-Intake well"/>
      <sheetName val="data-ELSR-"/>
      <sheetName val="Valves"/>
      <sheetName val="Model GLSR-"/>
      <sheetName val="Feeder main-1 (2)"/>
      <sheetName val="Dist &amp; Feeder mains  (2)"/>
      <sheetName val="BFlow meters"/>
      <sheetName val="DI-100-900"/>
      <sheetName val="O Nd M"/>
      <sheetName val="Pump room-6.59x6.00m"/>
      <sheetName val="data-MS-pipe"/>
      <sheetName val="GA-GVMC -Raiwada-BWSC"/>
      <sheetName val="BWSC-Pumping Main-1200mm"/>
      <sheetName val="GA-GVMC -Raiwada"/>
      <sheetName val="MS-Pumping Main-1300mm"/>
      <sheetName val="Thurst-F.mains"/>
      <sheetName val="Thrust-P.mains"/>
      <sheetName val="CI weights"/>
      <sheetName val="PH-BWSC"/>
      <sheetName val="BWSC-Rate"/>
      <sheetName val="BWSC-Cal"/>
      <sheetName val="Proforma -II "/>
      <sheetName val="Pump seÑ"/>
      <sheetName val="DATA_PRG"/>
      <sheetName val="Ellis &amp; WS&amp;S"/>
      <sheetName val="Drip mould &amp; Elevation"/>
      <sheetName val="Trussess"/>
      <sheetName val="MRATES"/>
      <sheetName val="Pump se"/>
      <sheetName val="BS"/>
      <sheetName val="Capex"/>
      <sheetName val="CIV INV&amp;EXP"/>
      <sheetName val="not req 3"/>
      <sheetName val="220Kv (2)"/>
      <sheetName val="COMPLEXALL"/>
      <sheetName val="Control"/>
      <sheetName val="PROG_DATA"/>
      <sheetName val="DETAILED  BOQ"/>
      <sheetName val="Name List"/>
      <sheetName val="PRELIM5"/>
      <sheetName val="Abs PMRL"/>
      <sheetName val="Cleaning &amp; Grubbing"/>
      <sheetName val="Price Comparison"/>
      <sheetName val="BLOCK-A (MEA.SHEET)"/>
      <sheetName val="Insts"/>
      <sheetName val="PO Summary"/>
      <sheetName val="BOQ Summary"/>
      <sheetName val="Sec 1 Loose Furniture 18% GST"/>
      <sheetName val="Sec 1 Loose Furniture 12% GST"/>
      <sheetName val="Sec 1 Loose Furniture 5% GST"/>
      <sheetName val="Sec 2 Cafeteria Tables"/>
      <sheetName val="Sec 3 Cafeteria Chairs"/>
      <sheetName val="Sec 4 Work Floors - NT "/>
      <sheetName val="Sec 5 LGF Chairs-NT"/>
      <sheetName val="Sec 6 Additional 18% GST "/>
      <sheetName val="Sec 6 Additional 12% GST "/>
      <sheetName val="Sec 11-NT set 3"/>
      <sheetName val="DC Summary"/>
      <sheetName val="M Sheet"/>
      <sheetName val="RA4 Checklist"/>
      <sheetName val="Branch Power"/>
      <sheetName val="Distrib"/>
      <sheetName val="Emergency"/>
      <sheetName val="Equipment"/>
      <sheetName val="Lighting"/>
      <sheetName val="P.Well( RCC)"/>
      <sheetName val="Template4444"/>
      <sheetName val="CONNECT"/>
      <sheetName val="DetEst"/>
      <sheetName val="basdat"/>
      <sheetName val="P-Ins &amp; Bonds"/>
      <sheetName val="PCC"/>
      <sheetName val="NEW-IDs Fun &amp; Group"/>
      <sheetName val="Values"/>
      <sheetName val="PRICE-COMP"/>
      <sheetName val="sheet6"/>
      <sheetName val="India F&amp;S Template"/>
      <sheetName val="R20_R30_work"/>
      <sheetName val="PRSH"/>
      <sheetName val="Results"/>
      <sheetName val="PLGroupings"/>
      <sheetName val="List"/>
      <sheetName val="BASIS -DEC 08"/>
      <sheetName val=" "/>
      <sheetName val="PART-I_(2)6"/>
      <sheetName val="final_abstract6"/>
      <sheetName val="Basement_Budget5"/>
      <sheetName val="Fee_Rate_Summary5"/>
      <sheetName val="Rate_analysis5"/>
      <sheetName val="Materials_Cost5"/>
      <sheetName val="10__&amp;_11__Rate_Code_&amp;_BQ5"/>
      <sheetName val="RES_STEEL_TO5"/>
      <sheetName val="Break_up_Sheet5"/>
      <sheetName val="B_&amp;_C_-_M_-_ccp5"/>
      <sheetName val="RMZ_Summary5"/>
      <sheetName val="Fill_this_out_first___5"/>
      <sheetName val="TBAL9697_-group_wise__sdpl5"/>
      <sheetName val="Fin_Sum5"/>
      <sheetName val="Site_Dev_BOQ5"/>
      <sheetName val="Staff_Forecast_spread5"/>
      <sheetName val="Field_Values5"/>
      <sheetName val="Structure_Bills_Qty5"/>
      <sheetName val="Builtup_Area5"/>
      <sheetName val="MASTER_RATE_ANALYSIS5"/>
      <sheetName val="Cop_-VGN5"/>
      <sheetName val="IO_List5"/>
      <sheetName val="BOQ_Direct_selling_cost5"/>
      <sheetName val="Stress_Calculation5"/>
      <sheetName val="Pipe_Supports5"/>
      <sheetName val="Materials_5"/>
      <sheetName val="MN_T_B_5"/>
      <sheetName val="Exp_5"/>
      <sheetName val="INDIGINEOUS_ITEMS_5"/>
      <sheetName val="INDORAMA_Group_June_025"/>
      <sheetName val="E_&amp;_R5"/>
      <sheetName val="Break_Dw5"/>
      <sheetName val="Load_Details(B1)5"/>
      <sheetName val="SPT_vs_PHI5"/>
      <sheetName val="Civil_Boq5"/>
      <sheetName val="Debits_as_on_12_04_085"/>
      <sheetName val="For_Bill-04_PS"/>
      <sheetName val="RCC,Ret__Wall2"/>
      <sheetName val="RA_4_Challan_Summary_2"/>
      <sheetName val="Labour_productivity2"/>
      <sheetName val="labour_coeff2"/>
      <sheetName val="BOQ_(2)1"/>
      <sheetName val="PA-_Consutant_5"/>
      <sheetName val="Sheet3_(2)"/>
      <sheetName val="ORDER_BOOKING"/>
      <sheetName val="beam-reinft-IIInd_floor"/>
      <sheetName val="Bed_Class5"/>
      <sheetName val="PH_data"/>
      <sheetName val="Details_(3)"/>
      <sheetName val="Desgn(zone_I)5"/>
      <sheetName val="M_B-QtyRecn2"/>
      <sheetName val="Sqn__Main__Abs"/>
      <sheetName val="Staff_Acco_"/>
      <sheetName val="Section_Catalogue"/>
      <sheetName val="Approved_MTD_Proj_#'s"/>
      <sheetName val="ACAD_Finishes1"/>
      <sheetName val="Site_Details1"/>
      <sheetName val="Site_Area_Statement1"/>
      <sheetName val="CABLE_DATA"/>
      <sheetName val="GR_slab-reinft"/>
      <sheetName val="BOQ_civil"/>
      <sheetName val="INPUT_SHEET"/>
      <sheetName val="Rising_Main"/>
      <sheetName val="Estimate_"/>
      <sheetName val="Common_"/>
      <sheetName val="Staircase_"/>
      <sheetName val="Material_"/>
      <sheetName val="PACK_(B)"/>
      <sheetName val="M-Book_for_Conc"/>
      <sheetName val="M-Book_for_FW"/>
      <sheetName val="QS_Name"/>
      <sheetName val="CANDY_BOQ"/>
      <sheetName val="NLD_-_Assum"/>
      <sheetName val="schedule_nos"/>
      <sheetName val="bill_2"/>
      <sheetName val="train_cash"/>
      <sheetName val="accom_cash"/>
      <sheetName val="d-safe_specs"/>
      <sheetName val="d-safe_DELUXE"/>
      <sheetName val="Diawise_steel_abstract"/>
      <sheetName val="Column_Steel-R2"/>
      <sheetName val="std_wt_"/>
      <sheetName val="Meas_-Hotel_Part"/>
      <sheetName val="beam-reinft-machine_rm"/>
      <sheetName val="Vind_-_BtB"/>
      <sheetName val="Tender_Summary"/>
      <sheetName val="WORK_TABLE"/>
      <sheetName val="220_11__BS_"/>
      <sheetName val="Intro_"/>
      <sheetName val="Cash_Flows_&amp;_IRR"/>
      <sheetName val="SGS_ACQ"/>
      <sheetName val="CFForecast_detail"/>
      <sheetName val="Model_(Not_Merged)"/>
      <sheetName val="Form_6"/>
      <sheetName val="Operating_Statistics"/>
      <sheetName val="PC Master List"/>
      <sheetName val="Project Details.."/>
      <sheetName val="TOS-F"/>
      <sheetName val="2.대외공문"/>
      <sheetName val="M.S."/>
      <sheetName val="BHANDUP"/>
      <sheetName val="DOOR-WINDOW SCHEDULE"/>
      <sheetName val="BLOCK WORK-GRD FLR"/>
      <sheetName val="project"/>
      <sheetName val="detail'02"/>
      <sheetName val="Qty-UG"/>
      <sheetName val="ANNEXURE-A"/>
      <sheetName val="Labor abs-NMR"/>
      <sheetName val="Baricading"/>
      <sheetName val="ICO_budzet_97"/>
      <sheetName val="inWords"/>
      <sheetName val="Mar Roster"/>
      <sheetName val="UNP-NCW "/>
      <sheetName val="Transfer"/>
      <sheetName val="4 Annex 1 Basic rate"/>
      <sheetName val="drg"/>
      <sheetName val="0"/>
      <sheetName val="CUM-Mar07"/>
      <sheetName val="CRM"/>
      <sheetName val="A3"/>
      <sheetName val="BUD 07-08"/>
      <sheetName val="HIDE"/>
      <sheetName val="XL"/>
      <sheetName val="pri-com"/>
      <sheetName val="conc-foot-gradeslab"/>
      <sheetName val="Parameter"/>
      <sheetName val="site fab&amp;ernstr"/>
      <sheetName val="ecc_res"/>
      <sheetName val="water prop."/>
      <sheetName val="Door Qty"/>
      <sheetName val="Win Qty"/>
      <sheetName val="Japan Reco"/>
      <sheetName val="Costing-blk-B"/>
      <sheetName val="Master"/>
      <sheetName val="FINOLEX"/>
      <sheetName val="Basic"/>
      <sheetName val="Capital Structure"/>
      <sheetName val="Actuals_by_Job"/>
      <sheetName val="Outlook"/>
      <sheetName val="compare"/>
      <sheetName val="except_wiring"/>
      <sheetName val="CPIPE_1"/>
      <sheetName val="M_S_"/>
      <sheetName val="PART-I_(2)28"/>
      <sheetName val="final_abstract28"/>
      <sheetName val="Basement_Budget27"/>
      <sheetName val="Rate_analysis27"/>
      <sheetName val="Fee_Rate_Summary27"/>
      <sheetName val="Materials_Cost27"/>
      <sheetName val="10__&amp;_11__Rate_Code_&amp;_BQ27"/>
      <sheetName val="Break_up_Sheet27"/>
      <sheetName val="B_&amp;_C_-_M_-_ccp27"/>
      <sheetName val="RES_STEEL_TO27"/>
      <sheetName val="RMZ_Summary27"/>
      <sheetName val="Materials_27"/>
      <sheetName val="Field_Values27"/>
      <sheetName val="Fin_Sum27"/>
      <sheetName val="Fill_this_out_first___27"/>
      <sheetName val="Site_Dev_BOQ27"/>
      <sheetName val="Staff_Forecast_spread27"/>
      <sheetName val="Structure_Bills_Qty27"/>
      <sheetName val="Builtup_Area27"/>
      <sheetName val="MASTER_RATE_ANALYSIS27"/>
      <sheetName val="Cop_-VGN27"/>
      <sheetName val="Pipe_Supports27"/>
      <sheetName val="MN_T_B_27"/>
      <sheetName val="BOQ_Direct_selling_cost27"/>
      <sheetName val="Stress_Calculation27"/>
      <sheetName val="IO_List27"/>
      <sheetName val="TBAL9697_-group_wise__sdpl27"/>
      <sheetName val="Exp_27"/>
      <sheetName val="INDIGINEOUS_ITEMS_27"/>
      <sheetName val="E_&amp;_R27"/>
      <sheetName val="Load_Details(B1)27"/>
      <sheetName val="Break_Dw27"/>
      <sheetName val="SPT_vs_PHI27"/>
      <sheetName val="Civil_Boq27"/>
      <sheetName val="PA-_Consutant_27"/>
      <sheetName val="Debits_as_on_12_04_0827"/>
      <sheetName val="Sheet3_(2)27"/>
      <sheetName val="INDORAMA_Group_June_0227"/>
      <sheetName val="Sheet3_(2)1"/>
      <sheetName val="Sheet3_(2)2"/>
      <sheetName val="Sheet3_(2)3"/>
      <sheetName val="Sheet3_(2)5"/>
      <sheetName val="Sheet3_(2)4"/>
      <sheetName val="PART-I_(2)7"/>
      <sheetName val="final_abstract7"/>
      <sheetName val="Basement_Budget6"/>
      <sheetName val="Rate_analysis6"/>
      <sheetName val="Fee_Rate_Summary6"/>
      <sheetName val="Materials_Cost6"/>
      <sheetName val="10__&amp;_11__Rate_Code_&amp;_BQ6"/>
      <sheetName val="Break_up_Sheet6"/>
      <sheetName val="B_&amp;_C_-_M_-_ccp6"/>
      <sheetName val="RES_STEEL_TO6"/>
      <sheetName val="RMZ_Summary6"/>
      <sheetName val="Materials_6"/>
      <sheetName val="Field_Values6"/>
      <sheetName val="Fin_Sum6"/>
      <sheetName val="Fill_this_out_first___6"/>
      <sheetName val="Site_Dev_BOQ6"/>
      <sheetName val="Staff_Forecast_spread6"/>
      <sheetName val="Structure_Bills_Qty6"/>
      <sheetName val="Builtup_Area6"/>
      <sheetName val="MASTER_RATE_ANALYSIS6"/>
      <sheetName val="Cop_-VGN6"/>
      <sheetName val="Pipe_Supports6"/>
      <sheetName val="MN_T_B_6"/>
      <sheetName val="BOQ_Direct_selling_cost6"/>
      <sheetName val="Stress_Calculation6"/>
      <sheetName val="IO_List6"/>
      <sheetName val="TBAL9697_-group_wise__sdpl6"/>
      <sheetName val="Exp_6"/>
      <sheetName val="INDIGINEOUS_ITEMS_6"/>
      <sheetName val="E_&amp;_R6"/>
      <sheetName val="Load_Details(B1)6"/>
      <sheetName val="Break_Dw6"/>
      <sheetName val="SPT_vs_PHI6"/>
      <sheetName val="Civil_Boq6"/>
      <sheetName val="PA-_Consutant_6"/>
      <sheetName val="Debits_as_on_12_04_086"/>
      <sheetName val="Sheet3_(2)6"/>
      <sheetName val="INDORAMA_Group_June_026"/>
      <sheetName val="PART-I_(2)8"/>
      <sheetName val="final_abstract8"/>
      <sheetName val="Basement_Budget7"/>
      <sheetName val="Rate_analysis7"/>
      <sheetName val="Fee_Rate_Summary7"/>
      <sheetName val="Materials_Cost7"/>
      <sheetName val="10__&amp;_11__Rate_Code_&amp;_BQ7"/>
      <sheetName val="Break_up_Sheet7"/>
      <sheetName val="B_&amp;_C_-_M_-_ccp7"/>
      <sheetName val="RES_STEEL_TO7"/>
      <sheetName val="RMZ_Summary7"/>
      <sheetName val="Materials_7"/>
      <sheetName val="Field_Values7"/>
      <sheetName val="Fin_Sum7"/>
      <sheetName val="Fill_this_out_first___7"/>
      <sheetName val="Site_Dev_BOQ7"/>
      <sheetName val="Staff_Forecast_spread7"/>
      <sheetName val="Structure_Bills_Qty7"/>
      <sheetName val="Builtup_Area7"/>
      <sheetName val="MASTER_RATE_ANALYSIS7"/>
      <sheetName val="Cop_-VGN7"/>
      <sheetName val="Pipe_Supports7"/>
      <sheetName val="MN_T_B_7"/>
      <sheetName val="BOQ_Direct_selling_cost7"/>
      <sheetName val="Stress_Calculation7"/>
      <sheetName val="IO_List7"/>
      <sheetName val="TBAL9697_-group_wise__sdpl7"/>
      <sheetName val="Exp_7"/>
      <sheetName val="INDIGINEOUS_ITEMS_7"/>
      <sheetName val="E_&amp;_R7"/>
      <sheetName val="Load_Details(B1)7"/>
      <sheetName val="Break_Dw7"/>
      <sheetName val="SPT_vs_PHI7"/>
      <sheetName val="Civil_Boq7"/>
      <sheetName val="PA-_Consutant_7"/>
      <sheetName val="Debits_as_on_12_04_087"/>
      <sheetName val="Sheet3_(2)7"/>
      <sheetName val="INDORAMA_Group_June_027"/>
      <sheetName val="PART-I_(2)12"/>
      <sheetName val="final_abstract12"/>
      <sheetName val="Basement_Budget11"/>
      <sheetName val="Rate_analysis11"/>
      <sheetName val="Fee_Rate_Summary11"/>
      <sheetName val="Materials_Cost11"/>
      <sheetName val="10__&amp;_11__Rate_Code_&amp;_BQ11"/>
      <sheetName val="Break_up_Sheet11"/>
      <sheetName val="B_&amp;_C_-_M_-_ccp11"/>
      <sheetName val="RES_STEEL_TO11"/>
      <sheetName val="RMZ_Summary11"/>
      <sheetName val="Materials_11"/>
      <sheetName val="Field_Values11"/>
      <sheetName val="Fin_Sum11"/>
      <sheetName val="Fill_this_out_first___11"/>
      <sheetName val="Site_Dev_BOQ11"/>
      <sheetName val="Staff_Forecast_spread11"/>
      <sheetName val="Structure_Bills_Qty11"/>
      <sheetName val="Builtup_Area11"/>
      <sheetName val="MASTER_RATE_ANALYSIS11"/>
      <sheetName val="Cop_-VGN11"/>
      <sheetName val="Pipe_Supports11"/>
      <sheetName val="MN_T_B_11"/>
      <sheetName val="BOQ_Direct_selling_cost11"/>
      <sheetName val="Stress_Calculation11"/>
      <sheetName val="IO_List11"/>
      <sheetName val="TBAL9697_-group_wise__sdpl11"/>
      <sheetName val="Exp_11"/>
      <sheetName val="INDIGINEOUS_ITEMS_11"/>
      <sheetName val="E_&amp;_R11"/>
      <sheetName val="Load_Details(B1)11"/>
      <sheetName val="Break_Dw11"/>
      <sheetName val="SPT_vs_PHI11"/>
      <sheetName val="Civil_Boq11"/>
      <sheetName val="PA-_Consutant_11"/>
      <sheetName val="Debits_as_on_12_04_0811"/>
      <sheetName val="Sheet3_(2)11"/>
      <sheetName val="INDORAMA_Group_June_0211"/>
      <sheetName val="PART-I_(2)9"/>
      <sheetName val="final_abstract9"/>
      <sheetName val="Basement_Budget8"/>
      <sheetName val="Rate_analysis8"/>
      <sheetName val="Fee_Rate_Summary8"/>
      <sheetName val="Materials_Cost8"/>
      <sheetName val="10__&amp;_11__Rate_Code_&amp;_BQ8"/>
      <sheetName val="Break_up_Sheet8"/>
      <sheetName val="B_&amp;_C_-_M_-_ccp8"/>
      <sheetName val="RES_STEEL_TO8"/>
      <sheetName val="RMZ_Summary8"/>
      <sheetName val="Materials_8"/>
      <sheetName val="Field_Values8"/>
      <sheetName val="Fin_Sum8"/>
      <sheetName val="Fill_this_out_first___8"/>
      <sheetName val="Site_Dev_BOQ8"/>
      <sheetName val="Staff_Forecast_spread8"/>
      <sheetName val="Structure_Bills_Qty8"/>
      <sheetName val="Builtup_Area8"/>
      <sheetName val="MASTER_RATE_ANALYSIS8"/>
      <sheetName val="Cop_-VGN8"/>
      <sheetName val="Pipe_Supports8"/>
      <sheetName val="MN_T_B_8"/>
      <sheetName val="BOQ_Direct_selling_cost8"/>
      <sheetName val="Stress_Calculation8"/>
      <sheetName val="IO_List8"/>
      <sheetName val="TBAL9697_-group_wise__sdpl8"/>
      <sheetName val="Exp_8"/>
      <sheetName val="INDIGINEOUS_ITEMS_8"/>
      <sheetName val="E_&amp;_R8"/>
      <sheetName val="Load_Details(B1)8"/>
      <sheetName val="Break_Dw8"/>
      <sheetName val="SPT_vs_PHI8"/>
      <sheetName val="Civil_Boq8"/>
      <sheetName val="PA-_Consutant_8"/>
      <sheetName val="Debits_as_on_12_04_088"/>
      <sheetName val="Sheet3_(2)8"/>
      <sheetName val="INDORAMA_Group_June_028"/>
      <sheetName val="PART-I_(2)10"/>
      <sheetName val="final_abstract10"/>
      <sheetName val="Basement_Budget9"/>
      <sheetName val="Rate_analysis9"/>
      <sheetName val="Fee_Rate_Summary9"/>
      <sheetName val="Materials_Cost9"/>
      <sheetName val="10__&amp;_11__Rate_Code_&amp;_BQ9"/>
      <sheetName val="Break_up_Sheet9"/>
      <sheetName val="B_&amp;_C_-_M_-_ccp9"/>
      <sheetName val="RES_STEEL_TO9"/>
      <sheetName val="RMZ_Summary9"/>
      <sheetName val="Materials_9"/>
      <sheetName val="Field_Values9"/>
      <sheetName val="Fin_Sum9"/>
      <sheetName val="Fill_this_out_first___9"/>
      <sheetName val="Site_Dev_BOQ9"/>
      <sheetName val="Staff_Forecast_spread9"/>
      <sheetName val="Structure_Bills_Qty9"/>
      <sheetName val="Builtup_Area9"/>
      <sheetName val="MASTER_RATE_ANALYSIS9"/>
      <sheetName val="Cop_-VGN9"/>
      <sheetName val="Pipe_Supports9"/>
      <sheetName val="MN_T_B_9"/>
      <sheetName val="BOQ_Direct_selling_cost9"/>
      <sheetName val="Stress_Calculation9"/>
      <sheetName val="IO_List9"/>
      <sheetName val="TBAL9697_-group_wise__sdpl9"/>
      <sheetName val="Exp_9"/>
      <sheetName val="INDIGINEOUS_ITEMS_9"/>
      <sheetName val="E_&amp;_R9"/>
      <sheetName val="Load_Details(B1)9"/>
      <sheetName val="Break_Dw9"/>
      <sheetName val="SPT_vs_PHI9"/>
      <sheetName val="Civil_Boq9"/>
      <sheetName val="PA-_Consutant_9"/>
      <sheetName val="Debits_as_on_12_04_089"/>
      <sheetName val="Sheet3_(2)9"/>
      <sheetName val="INDORAMA_Group_June_029"/>
      <sheetName val="PART-I_(2)11"/>
      <sheetName val="final_abstract11"/>
      <sheetName val="Basement_Budget10"/>
      <sheetName val="Rate_analysis10"/>
      <sheetName val="Fee_Rate_Summary10"/>
      <sheetName val="Materials_Cost10"/>
      <sheetName val="10__&amp;_11__Rate_Code_&amp;_BQ10"/>
      <sheetName val="Break_up_Sheet10"/>
      <sheetName val="B_&amp;_C_-_M_-_ccp10"/>
      <sheetName val="RES_STEEL_TO10"/>
      <sheetName val="RMZ_Summary10"/>
      <sheetName val="Materials_10"/>
      <sheetName val="Field_Values10"/>
      <sheetName val="Fin_Sum10"/>
      <sheetName val="Fill_this_out_first___10"/>
      <sheetName val="Site_Dev_BOQ10"/>
      <sheetName val="Staff_Forecast_spread10"/>
      <sheetName val="Structure_Bills_Qty10"/>
      <sheetName val="Builtup_Area10"/>
      <sheetName val="MASTER_RATE_ANALYSIS10"/>
      <sheetName val="Cop_-VGN10"/>
      <sheetName val="Pipe_Supports10"/>
      <sheetName val="MN_T_B_10"/>
      <sheetName val="BOQ_Direct_selling_cost10"/>
      <sheetName val="Stress_Calculation10"/>
      <sheetName val="IO_List10"/>
      <sheetName val="TBAL9697_-group_wise__sdpl10"/>
      <sheetName val="Exp_10"/>
      <sheetName val="INDIGINEOUS_ITEMS_10"/>
      <sheetName val="E_&amp;_R10"/>
      <sheetName val="Load_Details(B1)10"/>
      <sheetName val="Break_Dw10"/>
      <sheetName val="SPT_vs_PHI10"/>
      <sheetName val="Civil_Boq10"/>
      <sheetName val="PA-_Consutant_10"/>
      <sheetName val="Debits_as_on_12_04_0810"/>
      <sheetName val="Sheet3_(2)10"/>
      <sheetName val="INDORAMA_Group_June_0210"/>
      <sheetName val="PART-I_(2)13"/>
      <sheetName val="final_abstract13"/>
      <sheetName val="Basement_Budget12"/>
      <sheetName val="Rate_analysis12"/>
      <sheetName val="Fee_Rate_Summary12"/>
      <sheetName val="Materials_Cost12"/>
      <sheetName val="10__&amp;_11__Rate_Code_&amp;_BQ12"/>
      <sheetName val="Break_up_Sheet12"/>
      <sheetName val="B_&amp;_C_-_M_-_ccp12"/>
      <sheetName val="RES_STEEL_TO12"/>
      <sheetName val="RMZ_Summary12"/>
      <sheetName val="Materials_12"/>
      <sheetName val="Fill_this_out_first___12"/>
      <sheetName val="Cop_-VGN12"/>
      <sheetName val="Field_Values12"/>
      <sheetName val="Fin_Sum12"/>
      <sheetName val="Site_Dev_BOQ12"/>
      <sheetName val="Staff_Forecast_spread12"/>
      <sheetName val="Structure_Bills_Qty12"/>
      <sheetName val="Builtup_Area12"/>
      <sheetName val="MASTER_RATE_ANALYSIS12"/>
      <sheetName val="Pipe_Supports12"/>
      <sheetName val="MN_T_B_12"/>
      <sheetName val="BOQ_Direct_selling_cost12"/>
      <sheetName val="Stress_Calculation12"/>
      <sheetName val="IO_List12"/>
      <sheetName val="TBAL9697_-group_wise__sdpl12"/>
      <sheetName val="Exp_12"/>
      <sheetName val="INDIGINEOUS_ITEMS_12"/>
      <sheetName val="E_&amp;_R12"/>
      <sheetName val="Load_Details(B1)12"/>
      <sheetName val="Break_Dw12"/>
      <sheetName val="SPT_vs_PHI12"/>
      <sheetName val="Civil_Boq12"/>
      <sheetName val="PA-_Consutant_12"/>
      <sheetName val="Debits_as_on_12_04_0812"/>
      <sheetName val="Sheet3_(2)12"/>
      <sheetName val="INDORAMA_Group_June_0212"/>
      <sheetName val="PART-I_(2)16"/>
      <sheetName val="final_abstract16"/>
      <sheetName val="Basement_Budget15"/>
      <sheetName val="Rate_analysis15"/>
      <sheetName val="Fee_Rate_Summary15"/>
      <sheetName val="Materials_Cost15"/>
      <sheetName val="10__&amp;_11__Rate_Code_&amp;_BQ15"/>
      <sheetName val="Break_up_Sheet15"/>
      <sheetName val="B_&amp;_C_-_M_-_ccp15"/>
      <sheetName val="RES_STEEL_TO15"/>
      <sheetName val="RMZ_Summary15"/>
      <sheetName val="Materials_15"/>
      <sheetName val="Field_Values15"/>
      <sheetName val="Fin_Sum15"/>
      <sheetName val="Fill_this_out_first___15"/>
      <sheetName val="Site_Dev_BOQ15"/>
      <sheetName val="Staff_Forecast_spread15"/>
      <sheetName val="Structure_Bills_Qty15"/>
      <sheetName val="Builtup_Area15"/>
      <sheetName val="MASTER_RATE_ANALYSIS15"/>
      <sheetName val="Cop_-VGN15"/>
      <sheetName val="Pipe_Supports15"/>
      <sheetName val="MN_T_B_15"/>
      <sheetName val="BOQ_Direct_selling_cost15"/>
      <sheetName val="Stress_Calculation15"/>
      <sheetName val="IO_List15"/>
      <sheetName val="TBAL9697_-group_wise__sdpl15"/>
      <sheetName val="Exp_15"/>
      <sheetName val="INDIGINEOUS_ITEMS_15"/>
      <sheetName val="E_&amp;_R15"/>
      <sheetName val="Load_Details(B1)15"/>
      <sheetName val="Break_Dw15"/>
      <sheetName val="SPT_vs_PHI15"/>
      <sheetName val="Civil_Boq15"/>
      <sheetName val="PA-_Consutant_15"/>
      <sheetName val="Debits_as_on_12_04_0815"/>
      <sheetName val="Sheet3_(2)15"/>
      <sheetName val="INDORAMA_Group_June_0215"/>
      <sheetName val="PART-I_(2)14"/>
      <sheetName val="final_abstract14"/>
      <sheetName val="Basement_Budget13"/>
      <sheetName val="Rate_analysis13"/>
      <sheetName val="Fee_Rate_Summary13"/>
      <sheetName val="Materials_Cost13"/>
      <sheetName val="10__&amp;_11__Rate_Code_&amp;_BQ13"/>
      <sheetName val="Break_up_Sheet13"/>
      <sheetName val="B_&amp;_C_-_M_-_ccp13"/>
      <sheetName val="RES_STEEL_TO13"/>
      <sheetName val="RMZ_Summary13"/>
      <sheetName val="Materials_13"/>
      <sheetName val="Field_Values13"/>
      <sheetName val="Fin_Sum13"/>
      <sheetName val="Fill_this_out_first___13"/>
      <sheetName val="Site_Dev_BOQ13"/>
      <sheetName val="Staff_Forecast_spread13"/>
      <sheetName val="Structure_Bills_Qty13"/>
      <sheetName val="Builtup_Area13"/>
      <sheetName val="MASTER_RATE_ANALYSIS13"/>
      <sheetName val="Cop_-VGN13"/>
      <sheetName val="Pipe_Supports13"/>
      <sheetName val="MN_T_B_13"/>
      <sheetName val="BOQ_Direct_selling_cost13"/>
      <sheetName val="Stress_Calculation13"/>
      <sheetName val="IO_List13"/>
      <sheetName val="TBAL9697_-group_wise__sdpl13"/>
      <sheetName val="Exp_13"/>
      <sheetName val="INDIGINEOUS_ITEMS_13"/>
      <sheetName val="E_&amp;_R13"/>
      <sheetName val="Load_Details(B1)13"/>
      <sheetName val="Break_Dw13"/>
      <sheetName val="SPT_vs_PHI13"/>
      <sheetName val="Civil_Boq13"/>
      <sheetName val="PA-_Consutant_13"/>
      <sheetName val="Debits_as_on_12_04_0813"/>
      <sheetName val="Sheet3_(2)13"/>
      <sheetName val="INDORAMA_Group_June_0213"/>
      <sheetName val="PART-I_(2)15"/>
      <sheetName val="final_abstract15"/>
      <sheetName val="Basement_Budget14"/>
      <sheetName val="Rate_analysis14"/>
      <sheetName val="Fee_Rate_Summary14"/>
      <sheetName val="Materials_Cost14"/>
      <sheetName val="10__&amp;_11__Rate_Code_&amp;_BQ14"/>
      <sheetName val="Break_up_Sheet14"/>
      <sheetName val="B_&amp;_C_-_M_-_ccp14"/>
      <sheetName val="RES_STEEL_TO14"/>
      <sheetName val="RMZ_Summary14"/>
      <sheetName val="Materials_14"/>
      <sheetName val="Field_Values14"/>
      <sheetName val="Fin_Sum14"/>
      <sheetName val="Fill_this_out_first___14"/>
      <sheetName val="Site_Dev_BOQ14"/>
      <sheetName val="Staff_Forecast_spread14"/>
      <sheetName val="Structure_Bills_Qty14"/>
      <sheetName val="Builtup_Area14"/>
      <sheetName val="MASTER_RATE_ANALYSIS14"/>
      <sheetName val="Cop_-VGN14"/>
      <sheetName val="Pipe_Supports14"/>
      <sheetName val="MN_T_B_14"/>
      <sheetName val="BOQ_Direct_selling_cost14"/>
      <sheetName val="Stress_Calculation14"/>
      <sheetName val="IO_List14"/>
      <sheetName val="TBAL9697_-group_wise__sdpl14"/>
      <sheetName val="Exp_14"/>
      <sheetName val="INDIGINEOUS_ITEMS_14"/>
      <sheetName val="E_&amp;_R14"/>
      <sheetName val="Load_Details(B1)14"/>
      <sheetName val="Break_Dw14"/>
      <sheetName val="SPT_vs_PHI14"/>
      <sheetName val="Civil_Boq14"/>
      <sheetName val="PA-_Consutant_14"/>
      <sheetName val="Debits_as_on_12_04_0814"/>
      <sheetName val="Sheet3_(2)14"/>
      <sheetName val="INDORAMA_Group_June_0214"/>
      <sheetName val="PART-I_(2)17"/>
      <sheetName val="final_abstract17"/>
      <sheetName val="Rate_analysis16"/>
      <sheetName val="Fee_Rate_Summary16"/>
      <sheetName val="Basement_Budget16"/>
      <sheetName val="Materials_Cost16"/>
      <sheetName val="10__&amp;_11__Rate_Code_&amp;_BQ16"/>
      <sheetName val="Break_up_Sheet16"/>
      <sheetName val="B_&amp;_C_-_M_-_ccp16"/>
      <sheetName val="RES_STEEL_TO16"/>
      <sheetName val="RMZ_Summary16"/>
      <sheetName val="Field_Values16"/>
      <sheetName val="Fin_Sum16"/>
      <sheetName val="Fill_this_out_first___16"/>
      <sheetName val="Site_Dev_BOQ16"/>
      <sheetName val="Staff_Forecast_spread16"/>
      <sheetName val="Structure_Bills_Qty16"/>
      <sheetName val="Builtup_Area16"/>
      <sheetName val="MASTER_RATE_ANALYSIS16"/>
      <sheetName val="Cop_-VGN16"/>
      <sheetName val="Pipe_Supports16"/>
      <sheetName val="Materials_16"/>
      <sheetName val="MN_T_B_16"/>
      <sheetName val="BOQ_Direct_selling_cost16"/>
      <sheetName val="Stress_Calculation16"/>
      <sheetName val="IO_List16"/>
      <sheetName val="TBAL9697_-group_wise__sdpl16"/>
      <sheetName val="Exp_16"/>
      <sheetName val="INDIGINEOUS_ITEMS_16"/>
      <sheetName val="E_&amp;_R16"/>
      <sheetName val="Load_Details(B1)16"/>
      <sheetName val="Break_Dw16"/>
      <sheetName val="SPT_vs_PHI16"/>
      <sheetName val="Civil_Boq16"/>
      <sheetName val="PA-_Consutant_16"/>
      <sheetName val="Debits_as_on_12_04_0816"/>
      <sheetName val="Sheet3_(2)16"/>
      <sheetName val="INDORAMA_Group_June_0216"/>
      <sheetName val="PART-I_(2)22"/>
      <sheetName val="final_abstract22"/>
      <sheetName val="Basement_Budget21"/>
      <sheetName val="Rate_analysis21"/>
      <sheetName val="Fee_Rate_Summary21"/>
      <sheetName val="Materials_Cost21"/>
      <sheetName val="10__&amp;_11__Rate_Code_&amp;_BQ21"/>
      <sheetName val="Break_up_Sheet21"/>
      <sheetName val="B_&amp;_C_-_M_-_ccp21"/>
      <sheetName val="RES_STEEL_TO21"/>
      <sheetName val="RMZ_Summary21"/>
      <sheetName val="Materials_21"/>
      <sheetName val="Field_Values21"/>
      <sheetName val="Fin_Sum21"/>
      <sheetName val="Fill_this_out_first___21"/>
      <sheetName val="Site_Dev_BOQ21"/>
      <sheetName val="Staff_Forecast_spread21"/>
      <sheetName val="Structure_Bills_Qty21"/>
      <sheetName val="Builtup_Area21"/>
      <sheetName val="MASTER_RATE_ANALYSIS21"/>
      <sheetName val="Cop_-VGN21"/>
      <sheetName val="Pipe_Supports21"/>
      <sheetName val="MN_T_B_21"/>
      <sheetName val="BOQ_Direct_selling_cost21"/>
      <sheetName val="Stress_Calculation21"/>
      <sheetName val="IO_List21"/>
      <sheetName val="TBAL9697_-group_wise__sdpl21"/>
      <sheetName val="Exp_21"/>
      <sheetName val="INDIGINEOUS_ITEMS_21"/>
      <sheetName val="E_&amp;_R21"/>
      <sheetName val="Load_Details(B1)21"/>
      <sheetName val="Break_Dw21"/>
      <sheetName val="SPT_vs_PHI21"/>
      <sheetName val="Civil_Boq21"/>
      <sheetName val="PA-_Consutant_21"/>
      <sheetName val="Debits_as_on_12_04_0821"/>
      <sheetName val="Sheet3_(2)21"/>
      <sheetName val="INDORAMA_Group_June_0221"/>
      <sheetName val="PART-I_(2)19"/>
      <sheetName val="final_abstract19"/>
      <sheetName val="Rate_analysis18"/>
      <sheetName val="Fee_Rate_Summary18"/>
      <sheetName val="Basement_Budget18"/>
      <sheetName val="Materials_Cost18"/>
      <sheetName val="10__&amp;_11__Rate_Code_&amp;_BQ18"/>
      <sheetName val="Break_up_Sheet18"/>
      <sheetName val="B_&amp;_C_-_M_-_ccp18"/>
      <sheetName val="RES_STEEL_TO18"/>
      <sheetName val="RMZ_Summary18"/>
      <sheetName val="Field_Values18"/>
      <sheetName val="Fin_Sum18"/>
      <sheetName val="Fill_this_out_first___18"/>
      <sheetName val="Site_Dev_BOQ18"/>
      <sheetName val="Staff_Forecast_spread18"/>
      <sheetName val="Structure_Bills_Qty18"/>
      <sheetName val="Builtup_Area18"/>
      <sheetName val="MASTER_RATE_ANALYSIS18"/>
      <sheetName val="Cop_-VGN18"/>
      <sheetName val="Pipe_Supports18"/>
      <sheetName val="Materials_18"/>
      <sheetName val="MN_T_B_18"/>
      <sheetName val="BOQ_Direct_selling_cost18"/>
      <sheetName val="Stress_Calculation18"/>
      <sheetName val="IO_List18"/>
      <sheetName val="TBAL9697_-group_wise__sdpl18"/>
      <sheetName val="Exp_18"/>
      <sheetName val="INDIGINEOUS_ITEMS_18"/>
      <sheetName val="E_&amp;_R18"/>
      <sheetName val="Load_Details(B1)18"/>
      <sheetName val="Break_Dw18"/>
      <sheetName val="SPT_vs_PHI18"/>
      <sheetName val="Civil_Boq18"/>
      <sheetName val="PA-_Consutant_18"/>
      <sheetName val="Debits_as_on_12_04_0818"/>
      <sheetName val="Sheet3_(2)18"/>
      <sheetName val="INDORAMA_Group_June_0218"/>
      <sheetName val="PART-I_(2)18"/>
      <sheetName val="final_abstract18"/>
      <sheetName val="Rate_analysis17"/>
      <sheetName val="Fee_Rate_Summary17"/>
      <sheetName val="Basement_Budget17"/>
      <sheetName val="Materials_Cost17"/>
      <sheetName val="10__&amp;_11__Rate_Code_&amp;_BQ17"/>
      <sheetName val="Break_up_Sheet17"/>
      <sheetName val="B_&amp;_C_-_M_-_ccp17"/>
      <sheetName val="RES_STEEL_TO17"/>
      <sheetName val="RMZ_Summary17"/>
      <sheetName val="Field_Values17"/>
      <sheetName val="Fin_Sum17"/>
      <sheetName val="Fill_this_out_first___17"/>
      <sheetName val="Site_Dev_BOQ17"/>
      <sheetName val="Staff_Forecast_spread17"/>
      <sheetName val="Structure_Bills_Qty17"/>
      <sheetName val="Builtup_Area17"/>
      <sheetName val="MASTER_RATE_ANALYSIS17"/>
      <sheetName val="Cop_-VGN17"/>
      <sheetName val="Pipe_Supports17"/>
      <sheetName val="Materials_17"/>
      <sheetName val="MN_T_B_17"/>
      <sheetName val="BOQ_Direct_selling_cost17"/>
      <sheetName val="Stress_Calculation17"/>
      <sheetName val="IO_List17"/>
      <sheetName val="TBAL9697_-group_wise__sdpl17"/>
      <sheetName val="Exp_17"/>
      <sheetName val="INDIGINEOUS_ITEMS_17"/>
      <sheetName val="E_&amp;_R17"/>
      <sheetName val="Load_Details(B1)17"/>
      <sheetName val="Break_Dw17"/>
      <sheetName val="SPT_vs_PHI17"/>
      <sheetName val="Civil_Boq17"/>
      <sheetName val="PA-_Consutant_17"/>
      <sheetName val="Debits_as_on_12_04_0817"/>
      <sheetName val="Sheet3_(2)17"/>
      <sheetName val="INDORAMA_Group_June_0217"/>
      <sheetName val="PART-I_(2)20"/>
      <sheetName val="final_abstract20"/>
      <sheetName val="Rate_analysis19"/>
      <sheetName val="Fee_Rate_Summary19"/>
      <sheetName val="Basement_Budget19"/>
      <sheetName val="Materials_Cost19"/>
      <sheetName val="10__&amp;_11__Rate_Code_&amp;_BQ19"/>
      <sheetName val="Break_up_Sheet19"/>
      <sheetName val="B_&amp;_C_-_M_-_ccp19"/>
      <sheetName val="RES_STEEL_TO19"/>
      <sheetName val="RMZ_Summary19"/>
      <sheetName val="Field_Values19"/>
      <sheetName val="Fin_Sum19"/>
      <sheetName val="Fill_this_out_first___19"/>
      <sheetName val="Site_Dev_BOQ19"/>
      <sheetName val="Staff_Forecast_spread19"/>
      <sheetName val="Structure_Bills_Qty19"/>
      <sheetName val="Builtup_Area19"/>
      <sheetName val="MASTER_RATE_ANALYSIS19"/>
      <sheetName val="Cop_-VGN19"/>
      <sheetName val="Pipe_Supports19"/>
      <sheetName val="Materials_19"/>
      <sheetName val="MN_T_B_19"/>
      <sheetName val="BOQ_Direct_selling_cost19"/>
      <sheetName val="Stress_Calculation19"/>
      <sheetName val="IO_List19"/>
      <sheetName val="TBAL9697_-group_wise__sdpl19"/>
      <sheetName val="Exp_19"/>
      <sheetName val="INDIGINEOUS_ITEMS_19"/>
      <sheetName val="E_&amp;_R19"/>
      <sheetName val="Load_Details(B1)19"/>
      <sheetName val="Break_Dw19"/>
      <sheetName val="SPT_vs_PHI19"/>
      <sheetName val="Civil_Boq19"/>
      <sheetName val="PA-_Consutant_19"/>
      <sheetName val="Debits_as_on_12_04_0819"/>
      <sheetName val="Sheet3_(2)19"/>
      <sheetName val="INDORAMA_Group_June_0219"/>
      <sheetName val="PART-I_(2)21"/>
      <sheetName val="final_abstract21"/>
      <sheetName val="Basement_Budget20"/>
      <sheetName val="Rate_analysis20"/>
      <sheetName val="Fee_Rate_Summary20"/>
      <sheetName val="Materials_Cost20"/>
      <sheetName val="10__&amp;_11__Rate_Code_&amp;_BQ20"/>
      <sheetName val="Break_up_Sheet20"/>
      <sheetName val="B_&amp;_C_-_M_-_ccp20"/>
      <sheetName val="RES_STEEL_TO20"/>
      <sheetName val="RMZ_Summary20"/>
      <sheetName val="Materials_20"/>
      <sheetName val="Field_Values20"/>
      <sheetName val="Fin_Sum20"/>
      <sheetName val="Fill_this_out_first___20"/>
      <sheetName val="Site_Dev_BOQ20"/>
      <sheetName val="Staff_Forecast_spread20"/>
      <sheetName val="Structure_Bills_Qty20"/>
      <sheetName val="Builtup_Area20"/>
      <sheetName val="MASTER_RATE_ANALYSIS20"/>
      <sheetName val="Cop_-VGN20"/>
      <sheetName val="Pipe_Supports20"/>
      <sheetName val="MN_T_B_20"/>
      <sheetName val="BOQ_Direct_selling_cost20"/>
      <sheetName val="Stress_Calculation20"/>
      <sheetName val="IO_List20"/>
      <sheetName val="TBAL9697_-group_wise__sdpl20"/>
      <sheetName val="Exp_20"/>
      <sheetName val="INDIGINEOUS_ITEMS_20"/>
      <sheetName val="E_&amp;_R20"/>
      <sheetName val="Load_Details(B1)20"/>
      <sheetName val="Break_Dw20"/>
      <sheetName val="SPT_vs_PHI20"/>
      <sheetName val="Civil_Boq20"/>
      <sheetName val="PA-_Consutant_20"/>
      <sheetName val="Debits_as_on_12_04_0820"/>
      <sheetName val="Sheet3_(2)20"/>
      <sheetName val="INDORAMA_Group_June_0220"/>
      <sheetName val="PART-I_(2)23"/>
      <sheetName val="final_abstract23"/>
      <sheetName val="Basement_Budget22"/>
      <sheetName val="Rate_analysis22"/>
      <sheetName val="Fee_Rate_Summary22"/>
      <sheetName val="Materials_Cost22"/>
      <sheetName val="10__&amp;_11__Rate_Code_&amp;_BQ22"/>
      <sheetName val="Break_up_Sheet22"/>
      <sheetName val="B_&amp;_C_-_M_-_ccp22"/>
      <sheetName val="RES_STEEL_TO22"/>
      <sheetName val="RMZ_Summary22"/>
      <sheetName val="Materials_22"/>
      <sheetName val="Field_Values22"/>
      <sheetName val="Fin_Sum22"/>
      <sheetName val="Fill_this_out_first___22"/>
      <sheetName val="Site_Dev_BOQ22"/>
      <sheetName val="Staff_Forecast_spread22"/>
      <sheetName val="Structure_Bills_Qty22"/>
      <sheetName val="Builtup_Area22"/>
      <sheetName val="MASTER_RATE_ANALYSIS22"/>
      <sheetName val="Cop_-VGN22"/>
      <sheetName val="Pipe_Supports22"/>
      <sheetName val="MN_T_B_22"/>
      <sheetName val="BOQ_Direct_selling_cost22"/>
      <sheetName val="Stress_Calculation22"/>
      <sheetName val="IO_List22"/>
      <sheetName val="TBAL9697_-group_wise__sdpl22"/>
      <sheetName val="Exp_22"/>
      <sheetName val="INDIGINEOUS_ITEMS_22"/>
      <sheetName val="E_&amp;_R22"/>
      <sheetName val="Load_Details(B1)22"/>
      <sheetName val="Break_Dw22"/>
      <sheetName val="SPT_vs_PHI22"/>
      <sheetName val="Civil_Boq22"/>
      <sheetName val="PA-_Consutant_22"/>
      <sheetName val="Debits_as_on_12_04_0822"/>
      <sheetName val="Sheet3_(2)22"/>
      <sheetName val="INDORAMA_Group_June_0222"/>
      <sheetName val="PART-I_(2)24"/>
      <sheetName val="final_abstract24"/>
      <sheetName val="Basement_Budget23"/>
      <sheetName val="Rate_analysis23"/>
      <sheetName val="Fee_Rate_Summary23"/>
      <sheetName val="Materials_Cost23"/>
      <sheetName val="10__&amp;_11__Rate_Code_&amp;_BQ23"/>
      <sheetName val="Break_up_Sheet23"/>
      <sheetName val="B_&amp;_C_-_M_-_ccp23"/>
      <sheetName val="RES_STEEL_TO23"/>
      <sheetName val="RMZ_Summary23"/>
      <sheetName val="Materials_23"/>
      <sheetName val="Field_Values23"/>
      <sheetName val="Fin_Sum23"/>
      <sheetName val="Fill_this_out_first___23"/>
      <sheetName val="Site_Dev_BOQ23"/>
      <sheetName val="Staff_Forecast_spread23"/>
      <sheetName val="Structure_Bills_Qty23"/>
      <sheetName val="Builtup_Area23"/>
      <sheetName val="MASTER_RATE_ANALYSIS23"/>
      <sheetName val="Cop_-VGN23"/>
      <sheetName val="Pipe_Supports23"/>
      <sheetName val="MN_T_B_23"/>
      <sheetName val="BOQ_Direct_selling_cost23"/>
      <sheetName val="Stress_Calculation23"/>
      <sheetName val="IO_List23"/>
      <sheetName val="TBAL9697_-group_wise__sdpl23"/>
      <sheetName val="Exp_23"/>
      <sheetName val="INDIGINEOUS_ITEMS_23"/>
      <sheetName val="E_&amp;_R23"/>
      <sheetName val="Load_Details(B1)23"/>
      <sheetName val="Break_Dw23"/>
      <sheetName val="SPT_vs_PHI23"/>
      <sheetName val="Civil_Boq23"/>
      <sheetName val="PA-_Consutant_23"/>
      <sheetName val="Debits_as_on_12_04_0823"/>
      <sheetName val="Sheet3_(2)23"/>
      <sheetName val="INDORAMA_Group_June_0223"/>
      <sheetName val="PART-I_(2)25"/>
      <sheetName val="final_abstract25"/>
      <sheetName val="Basement_Budget24"/>
      <sheetName val="Rate_analysis24"/>
      <sheetName val="Fee_Rate_Summary24"/>
      <sheetName val="Materials_Cost24"/>
      <sheetName val="10__&amp;_11__Rate_Code_&amp;_BQ24"/>
      <sheetName val="Break_up_Sheet24"/>
      <sheetName val="B_&amp;_C_-_M_-_ccp24"/>
      <sheetName val="RES_STEEL_TO24"/>
      <sheetName val="RMZ_Summary24"/>
      <sheetName val="Materials_24"/>
      <sheetName val="Field_Values24"/>
      <sheetName val="Fin_Sum24"/>
      <sheetName val="Fill_this_out_first___24"/>
      <sheetName val="Site_Dev_BOQ24"/>
      <sheetName val="Staff_Forecast_spread24"/>
      <sheetName val="Structure_Bills_Qty24"/>
      <sheetName val="Builtup_Area24"/>
      <sheetName val="MASTER_RATE_ANALYSIS24"/>
      <sheetName val="Cop_-VGN24"/>
      <sheetName val="Pipe_Supports24"/>
      <sheetName val="MN_T_B_24"/>
      <sheetName val="BOQ_Direct_selling_cost24"/>
      <sheetName val="Stress_Calculation24"/>
      <sheetName val="IO_List24"/>
      <sheetName val="TBAL9697_-group_wise__sdpl24"/>
      <sheetName val="Exp_24"/>
      <sheetName val="INDIGINEOUS_ITEMS_24"/>
      <sheetName val="E_&amp;_R24"/>
      <sheetName val="Load_Details(B1)24"/>
      <sheetName val="Break_Dw24"/>
      <sheetName val="SPT_vs_PHI24"/>
      <sheetName val="Civil_Boq24"/>
      <sheetName val="PA-_Consutant_24"/>
      <sheetName val="Debits_as_on_12_04_0824"/>
      <sheetName val="Sheet3_(2)24"/>
      <sheetName val="INDORAMA_Group_June_0224"/>
      <sheetName val="PART-I_(2)26"/>
      <sheetName val="final_abstract26"/>
      <sheetName val="Basement_Budget25"/>
      <sheetName val="Rate_analysis25"/>
      <sheetName val="Fee_Rate_Summary25"/>
      <sheetName val="Materials_Cost25"/>
      <sheetName val="10__&amp;_11__Rate_Code_&amp;_BQ25"/>
      <sheetName val="Break_up_Sheet25"/>
      <sheetName val="B_&amp;_C_-_M_-_ccp25"/>
      <sheetName val="RES_STEEL_TO25"/>
      <sheetName val="RMZ_Summary25"/>
      <sheetName val="Materials_25"/>
      <sheetName val="Field_Values25"/>
      <sheetName val="Fin_Sum25"/>
      <sheetName val="Fill_this_out_first___25"/>
      <sheetName val="Site_Dev_BOQ25"/>
      <sheetName val="Staff_Forecast_spread25"/>
      <sheetName val="Structure_Bills_Qty25"/>
      <sheetName val="Builtup_Area25"/>
      <sheetName val="MASTER_RATE_ANALYSIS25"/>
      <sheetName val="Cop_-VGN25"/>
      <sheetName val="Pipe_Supports25"/>
      <sheetName val="MN_T_B_25"/>
      <sheetName val="BOQ_Direct_selling_cost25"/>
      <sheetName val="Stress_Calculation25"/>
      <sheetName val="IO_List25"/>
      <sheetName val="TBAL9697_-group_wise__sdpl25"/>
      <sheetName val="Exp_25"/>
      <sheetName val="INDIGINEOUS_ITEMS_25"/>
      <sheetName val="E_&amp;_R25"/>
      <sheetName val="Load_Details(B1)25"/>
      <sheetName val="Break_Dw25"/>
      <sheetName val="SPT_vs_PHI25"/>
      <sheetName val="Civil_Boq25"/>
      <sheetName val="PA-_Consutant_25"/>
      <sheetName val="Debits_as_on_12_04_0825"/>
      <sheetName val="Sheet3_(2)25"/>
      <sheetName val="INDORAMA_Group_June_0225"/>
      <sheetName val="PART-I_(2)27"/>
      <sheetName val="final_abstract27"/>
      <sheetName val="Basement_Budget26"/>
      <sheetName val="Rate_analysis26"/>
      <sheetName val="Fee_Rate_Summary26"/>
      <sheetName val="Materials_Cost26"/>
      <sheetName val="10__&amp;_11__Rate_Code_&amp;_BQ26"/>
      <sheetName val="Break_up_Sheet26"/>
      <sheetName val="B_&amp;_C_-_M_-_ccp26"/>
      <sheetName val="RES_STEEL_TO26"/>
      <sheetName val="RMZ_Summary26"/>
      <sheetName val="Materials_26"/>
      <sheetName val="Fill_this_out_first___26"/>
      <sheetName val="Cop_-VGN26"/>
      <sheetName val="Field_Values26"/>
      <sheetName val="Fin_Sum26"/>
      <sheetName val="Site_Dev_BOQ26"/>
      <sheetName val="Staff_Forecast_spread26"/>
      <sheetName val="Structure_Bills_Qty26"/>
      <sheetName val="Builtup_Area26"/>
      <sheetName val="MASTER_RATE_ANALYSIS26"/>
      <sheetName val="Pipe_Supports26"/>
      <sheetName val="MN_T_B_26"/>
      <sheetName val="BOQ_Direct_selling_cost26"/>
      <sheetName val="Stress_Calculation26"/>
      <sheetName val="IO_List26"/>
      <sheetName val="TBAL9697_-group_wise__sdpl26"/>
      <sheetName val="factor_sheet3"/>
      <sheetName val="Exp_26"/>
      <sheetName val="INDIGINEOUS_ITEMS_26"/>
      <sheetName val="E_&amp;_R26"/>
      <sheetName val="Load_Details(B1)26"/>
      <sheetName val="Break_Dw26"/>
      <sheetName val="SPT_vs_PHI26"/>
      <sheetName val="Civil_Boq26"/>
      <sheetName val="PA-_Consutant_26"/>
      <sheetName val="Debits_as_on_12_04_0826"/>
      <sheetName val="Sheet3_(2)26"/>
      <sheetName val="INDORAMA_Group_June_0226"/>
      <sheetName val="PART-I_(2)38"/>
      <sheetName val="final_abstract38"/>
      <sheetName val="Basement_Budget37"/>
      <sheetName val="Rate_analysis37"/>
      <sheetName val="Fee_Rate_Summary37"/>
      <sheetName val="Materials_Cost37"/>
      <sheetName val="10__&amp;_11__Rate_Code_&amp;_BQ37"/>
      <sheetName val="Break_up_Sheet37"/>
      <sheetName val="B_&amp;_C_-_M_-_ccp37"/>
      <sheetName val="RES_STEEL_TO37"/>
      <sheetName val="RMZ_Summary37"/>
      <sheetName val="Materials_37"/>
      <sheetName val="Field_Values37"/>
      <sheetName val="Fin_Sum37"/>
      <sheetName val="Fill_this_out_first___37"/>
      <sheetName val="Site_Dev_BOQ37"/>
      <sheetName val="Staff_Forecast_spread37"/>
      <sheetName val="Structure_Bills_Qty37"/>
      <sheetName val="Builtup_Area37"/>
      <sheetName val="MASTER_RATE_ANALYSIS37"/>
      <sheetName val="Cop_-VGN37"/>
      <sheetName val="Pipe_Supports37"/>
      <sheetName val="MN_T_B_37"/>
      <sheetName val="BOQ_Direct_selling_cost37"/>
      <sheetName val="Stress_Calculation37"/>
      <sheetName val="IO_List37"/>
      <sheetName val="TBAL9697_-group_wise__sdpl37"/>
      <sheetName val="factor_sheet12"/>
      <sheetName val="Exp_37"/>
      <sheetName val="INDIGINEOUS_ITEMS_37"/>
      <sheetName val="E_&amp;_R37"/>
      <sheetName val="Load_Details(B1)37"/>
      <sheetName val="Break_Dw37"/>
      <sheetName val="SPT_vs_PHI37"/>
      <sheetName val="Civil_Boq37"/>
      <sheetName val="PA-_Consutant_37"/>
      <sheetName val="Debits_as_on_12_04_0837"/>
      <sheetName val="Sheet3_(2)37"/>
      <sheetName val="INDORAMA_Group_June_0237"/>
      <sheetName val="PART-I_(2)29"/>
      <sheetName val="final_abstract29"/>
      <sheetName val="Basement_Budget28"/>
      <sheetName val="Rate_analysis28"/>
      <sheetName val="Fee_Rate_Summary28"/>
      <sheetName val="Materials_Cost28"/>
      <sheetName val="10__&amp;_11__Rate_Code_&amp;_BQ28"/>
      <sheetName val="Break_up_Sheet28"/>
      <sheetName val="B_&amp;_C_-_M_-_ccp28"/>
      <sheetName val="RES_STEEL_TO28"/>
      <sheetName val="RMZ_Summary28"/>
      <sheetName val="Materials_28"/>
      <sheetName val="Field_Values28"/>
      <sheetName val="Fin_Sum28"/>
      <sheetName val="Fill_this_out_first___28"/>
      <sheetName val="Site_Dev_BOQ28"/>
      <sheetName val="Staff_Forecast_spread28"/>
      <sheetName val="Structure_Bills_Qty28"/>
      <sheetName val="Builtup_Area28"/>
      <sheetName val="MASTER_RATE_ANALYSIS28"/>
      <sheetName val="Cop_-VGN28"/>
      <sheetName val="Pipe_Supports28"/>
      <sheetName val="MN_T_B_28"/>
      <sheetName val="BOQ_Direct_selling_cost28"/>
      <sheetName val="Stress_Calculation28"/>
      <sheetName val="IO_List28"/>
      <sheetName val="TBAL9697_-group_wise__sdpl28"/>
      <sheetName val="factor_sheet4"/>
      <sheetName val="Exp_28"/>
      <sheetName val="INDIGINEOUS_ITEMS_28"/>
      <sheetName val="E_&amp;_R28"/>
      <sheetName val="Load_Details(B1)28"/>
      <sheetName val="Break_Dw28"/>
      <sheetName val="SPT_vs_PHI28"/>
      <sheetName val="Civil_Boq28"/>
      <sheetName val="PA-_Consutant_28"/>
      <sheetName val="Debits_as_on_12_04_0828"/>
      <sheetName val="Sheet3_(2)28"/>
      <sheetName val="INDORAMA_Group_June_0228"/>
      <sheetName val="PART-I_(2)30"/>
      <sheetName val="final_abstract30"/>
      <sheetName val="Basement_Budget29"/>
      <sheetName val="Rate_analysis29"/>
      <sheetName val="Fee_Rate_Summary29"/>
      <sheetName val="Materials_Cost29"/>
      <sheetName val="10__&amp;_11__Rate_Code_&amp;_BQ29"/>
      <sheetName val="Break_up_Sheet29"/>
      <sheetName val="B_&amp;_C_-_M_-_ccp29"/>
      <sheetName val="RES_STEEL_TO29"/>
      <sheetName val="RMZ_Summary29"/>
      <sheetName val="Materials_29"/>
      <sheetName val="Field_Values29"/>
      <sheetName val="Fin_Sum29"/>
      <sheetName val="Fill_this_out_first___29"/>
      <sheetName val="Site_Dev_BOQ29"/>
      <sheetName val="Staff_Forecast_spread29"/>
      <sheetName val="Structure_Bills_Qty29"/>
      <sheetName val="Builtup_Area29"/>
      <sheetName val="MASTER_RATE_ANALYSIS29"/>
      <sheetName val="Cop_-VGN29"/>
      <sheetName val="Pipe_Supports29"/>
      <sheetName val="MN_T_B_29"/>
      <sheetName val="BOQ_Direct_selling_cost29"/>
      <sheetName val="Stress_Calculation29"/>
      <sheetName val="IO_List29"/>
      <sheetName val="TBAL9697_-group_wise__sdpl29"/>
      <sheetName val="factor_sheet5"/>
      <sheetName val="Exp_29"/>
      <sheetName val="INDIGINEOUS_ITEMS_29"/>
      <sheetName val="E_&amp;_R29"/>
      <sheetName val="Load_Details(B1)29"/>
      <sheetName val="Break_Dw29"/>
      <sheetName val="SPT_vs_PHI29"/>
      <sheetName val="Civil_Boq29"/>
      <sheetName val="PA-_Consutant_29"/>
      <sheetName val="Debits_as_on_12_04_0829"/>
      <sheetName val="Sheet3_(2)29"/>
      <sheetName val="INDORAMA_Group_June_0229"/>
      <sheetName val="PART-I_(2)31"/>
      <sheetName val="final_abstract31"/>
      <sheetName val="Basement_Budget30"/>
      <sheetName val="Rate_analysis30"/>
      <sheetName val="Fee_Rate_Summary30"/>
      <sheetName val="Materials_Cost30"/>
      <sheetName val="10__&amp;_11__Rate_Code_&amp;_BQ30"/>
      <sheetName val="Break_up_Sheet30"/>
      <sheetName val="B_&amp;_C_-_M_-_ccp30"/>
      <sheetName val="RES_STEEL_TO30"/>
      <sheetName val="RMZ_Summary30"/>
      <sheetName val="Materials_30"/>
      <sheetName val="Field_Values30"/>
      <sheetName val="Fin_Sum30"/>
      <sheetName val="Fill_this_out_first___30"/>
      <sheetName val="Site_Dev_BOQ30"/>
      <sheetName val="Staff_Forecast_spread30"/>
      <sheetName val="Structure_Bills_Qty30"/>
      <sheetName val="Builtup_Area30"/>
      <sheetName val="MASTER_RATE_ANALYSIS30"/>
      <sheetName val="Cop_-VGN30"/>
      <sheetName val="Pipe_Supports30"/>
      <sheetName val="MN_T_B_30"/>
      <sheetName val="BOQ_Direct_selling_cost30"/>
      <sheetName val="Stress_Calculation30"/>
      <sheetName val="IO_List30"/>
      <sheetName val="TBAL9697_-group_wise__sdpl30"/>
      <sheetName val="factor_sheet6"/>
      <sheetName val="Exp_30"/>
      <sheetName val="INDIGINEOUS_ITEMS_30"/>
      <sheetName val="E_&amp;_R30"/>
      <sheetName val="Load_Details(B1)30"/>
      <sheetName val="Break_Dw30"/>
      <sheetName val="SPT_vs_PHI30"/>
      <sheetName val="Civil_Boq30"/>
      <sheetName val="PA-_Consutant_30"/>
      <sheetName val="Debits_as_on_12_04_0830"/>
      <sheetName val="Sheet3_(2)30"/>
      <sheetName val="INDORAMA_Group_June_0230"/>
      <sheetName val="PART-I_(2)32"/>
      <sheetName val="final_abstract32"/>
      <sheetName val="Basement_Budget31"/>
      <sheetName val="Rate_analysis31"/>
      <sheetName val="Fee_Rate_Summary31"/>
      <sheetName val="Materials_Cost31"/>
      <sheetName val="10__&amp;_11__Rate_Code_&amp;_BQ31"/>
      <sheetName val="Break_up_Sheet31"/>
      <sheetName val="B_&amp;_C_-_M_-_ccp31"/>
      <sheetName val="RES_STEEL_TO31"/>
      <sheetName val="RMZ_Summary31"/>
      <sheetName val="Materials_31"/>
      <sheetName val="Field_Values31"/>
      <sheetName val="Fin_Sum31"/>
      <sheetName val="Fill_this_out_first___31"/>
      <sheetName val="Site_Dev_BOQ31"/>
      <sheetName val="Staff_Forecast_spread31"/>
      <sheetName val="Structure_Bills_Qty31"/>
      <sheetName val="Builtup_Area31"/>
      <sheetName val="MASTER_RATE_ANALYSIS31"/>
      <sheetName val="Cop_-VGN31"/>
      <sheetName val="Pipe_Supports31"/>
      <sheetName val="MN_T_B_31"/>
      <sheetName val="BOQ_Direct_selling_cost31"/>
      <sheetName val="Stress_Calculation31"/>
      <sheetName val="IO_List31"/>
      <sheetName val="TBAL9697_-group_wise__sdpl31"/>
      <sheetName val="factor_sheet7"/>
      <sheetName val="Exp_31"/>
      <sheetName val="INDIGINEOUS_ITEMS_31"/>
      <sheetName val="E_&amp;_R31"/>
      <sheetName val="Load_Details(B1)31"/>
      <sheetName val="Break_Dw31"/>
      <sheetName val="SPT_vs_PHI31"/>
      <sheetName val="Civil_Boq31"/>
      <sheetName val="PA-_Consutant_31"/>
      <sheetName val="Debits_as_on_12_04_0831"/>
      <sheetName val="Sheet3_(2)31"/>
      <sheetName val="INDORAMA_Group_June_0231"/>
      <sheetName val="PART-I_(2)34"/>
      <sheetName val="final_abstract34"/>
      <sheetName val="Basement_Budget33"/>
      <sheetName val="Rate_analysis33"/>
      <sheetName val="Fee_Rate_Summary33"/>
      <sheetName val="Materials_Cost33"/>
      <sheetName val="10__&amp;_11__Rate_Code_&amp;_BQ33"/>
      <sheetName val="Break_up_Sheet33"/>
      <sheetName val="B_&amp;_C_-_M_-_ccp33"/>
      <sheetName val="RES_STEEL_TO33"/>
      <sheetName val="RMZ_Summary33"/>
      <sheetName val="Materials_33"/>
      <sheetName val="Field_Values33"/>
      <sheetName val="Fin_Sum33"/>
      <sheetName val="Fill_this_out_first___33"/>
      <sheetName val="Site_Dev_BOQ33"/>
      <sheetName val="Staff_Forecast_spread33"/>
      <sheetName val="Structure_Bills_Qty33"/>
      <sheetName val="Builtup_Area33"/>
      <sheetName val="MASTER_RATE_ANALYSIS33"/>
      <sheetName val="Cop_-VGN33"/>
      <sheetName val="Pipe_Supports33"/>
      <sheetName val="MN_T_B_33"/>
      <sheetName val="BOQ_Direct_selling_cost33"/>
      <sheetName val="Stress_Calculation33"/>
      <sheetName val="IO_List33"/>
      <sheetName val="TBAL9697_-group_wise__sdpl33"/>
      <sheetName val="Exp_33"/>
      <sheetName val="INDIGINEOUS_ITEMS_33"/>
      <sheetName val="E_&amp;_R33"/>
      <sheetName val="Load_Details(B1)33"/>
      <sheetName val="Break_Dw33"/>
      <sheetName val="SPT_vs_PHI33"/>
      <sheetName val="Civil_Boq33"/>
      <sheetName val="PA-_Consutant_33"/>
      <sheetName val="Debits_as_on_12_04_0833"/>
      <sheetName val="Sheet3_(2)33"/>
      <sheetName val="INDORAMA_Group_June_0233"/>
      <sheetName val="PART-I_(2)33"/>
      <sheetName val="final_abstract33"/>
      <sheetName val="Basement_Budget32"/>
      <sheetName val="Rate_analysis32"/>
      <sheetName val="Fee_Rate_Summary32"/>
      <sheetName val="Materials_Cost32"/>
      <sheetName val="10__&amp;_11__Rate_Code_&amp;_BQ32"/>
      <sheetName val="Break_up_Sheet32"/>
      <sheetName val="B_&amp;_C_-_M_-_ccp32"/>
      <sheetName val="RES_STEEL_TO32"/>
      <sheetName val="RMZ_Summary32"/>
      <sheetName val="Materials_32"/>
      <sheetName val="Field_Values32"/>
      <sheetName val="Fin_Sum32"/>
      <sheetName val="Fill_this_out_first___32"/>
      <sheetName val="Site_Dev_BOQ32"/>
      <sheetName val="Staff_Forecast_spread32"/>
      <sheetName val="Structure_Bills_Qty32"/>
      <sheetName val="Builtup_Area32"/>
      <sheetName val="MASTER_RATE_ANALYSIS32"/>
      <sheetName val="Cop_-VGN32"/>
      <sheetName val="Pipe_Supports32"/>
      <sheetName val="MN_T_B_32"/>
      <sheetName val="BOQ_Direct_selling_cost32"/>
      <sheetName val="Stress_Calculation32"/>
      <sheetName val="IO_List32"/>
      <sheetName val="TBAL9697_-group_wise__sdpl32"/>
      <sheetName val="factor_sheet8"/>
      <sheetName val="Exp_32"/>
      <sheetName val="INDIGINEOUS_ITEMS_32"/>
      <sheetName val="E_&amp;_R32"/>
      <sheetName val="Load_Details(B1)32"/>
      <sheetName val="Break_Dw32"/>
      <sheetName val="SPT_vs_PHI32"/>
      <sheetName val="Civil_Boq32"/>
      <sheetName val="PA-_Consutant_32"/>
      <sheetName val="Debits_as_on_12_04_0832"/>
      <sheetName val="Sheet3_(2)32"/>
      <sheetName val="INDORAMA_Group_June_0232"/>
      <sheetName val="PART-I_(2)35"/>
      <sheetName val="final_abstract35"/>
      <sheetName val="Basement_Budget34"/>
      <sheetName val="Rate_analysis34"/>
      <sheetName val="Fee_Rate_Summary34"/>
      <sheetName val="Materials_Cost34"/>
      <sheetName val="10__&amp;_11__Rate_Code_&amp;_BQ34"/>
      <sheetName val="Break_up_Sheet34"/>
      <sheetName val="B_&amp;_C_-_M_-_ccp34"/>
      <sheetName val="RES_STEEL_TO34"/>
      <sheetName val="RMZ_Summary34"/>
      <sheetName val="Materials_34"/>
      <sheetName val="Field_Values34"/>
      <sheetName val="Fin_Sum34"/>
      <sheetName val="Fill_this_out_first___34"/>
      <sheetName val="Site_Dev_BOQ34"/>
      <sheetName val="Staff_Forecast_spread34"/>
      <sheetName val="Structure_Bills_Qty34"/>
      <sheetName val="Builtup_Area34"/>
      <sheetName val="MASTER_RATE_ANALYSIS34"/>
      <sheetName val="Cop_-VGN34"/>
      <sheetName val="Pipe_Supports34"/>
      <sheetName val="MN_T_B_34"/>
      <sheetName val="BOQ_Direct_selling_cost34"/>
      <sheetName val="Stress_Calculation34"/>
      <sheetName val="IO_List34"/>
      <sheetName val="TBAL9697_-group_wise__sdpl34"/>
      <sheetName val="factor_sheet9"/>
      <sheetName val="Exp_34"/>
      <sheetName val="INDIGINEOUS_ITEMS_34"/>
      <sheetName val="E_&amp;_R34"/>
      <sheetName val="Load_Details(B1)34"/>
      <sheetName val="Break_Dw34"/>
      <sheetName val="SPT_vs_PHI34"/>
      <sheetName val="Civil_Boq34"/>
      <sheetName val="PA-_Consutant_34"/>
      <sheetName val="Debits_as_on_12_04_0834"/>
      <sheetName val="Sheet3_(2)34"/>
      <sheetName val="INDORAMA_Group_June_0234"/>
      <sheetName val="PART-I_(2)36"/>
      <sheetName val="final_abstract36"/>
      <sheetName val="Basement_Budget35"/>
      <sheetName val="Rate_analysis35"/>
      <sheetName val="Fee_Rate_Summary35"/>
      <sheetName val="Materials_Cost35"/>
      <sheetName val="10__&amp;_11__Rate_Code_&amp;_BQ35"/>
      <sheetName val="Break_up_Sheet35"/>
      <sheetName val="B_&amp;_C_-_M_-_ccp35"/>
      <sheetName val="RES_STEEL_TO35"/>
      <sheetName val="RMZ_Summary35"/>
      <sheetName val="Materials_35"/>
      <sheetName val="Field_Values35"/>
      <sheetName val="Fin_Sum35"/>
      <sheetName val="Fill_this_out_first___35"/>
      <sheetName val="Site_Dev_BOQ35"/>
      <sheetName val="Staff_Forecast_spread35"/>
      <sheetName val="Structure_Bills_Qty35"/>
      <sheetName val="Builtup_Area35"/>
      <sheetName val="MASTER_RATE_ANALYSIS35"/>
      <sheetName val="Cop_-VGN35"/>
      <sheetName val="Pipe_Supports35"/>
      <sheetName val="MN_T_B_35"/>
      <sheetName val="BOQ_Direct_selling_cost35"/>
      <sheetName val="Stress_Calculation35"/>
      <sheetName val="IO_List35"/>
      <sheetName val="TBAL9697_-group_wise__sdpl35"/>
      <sheetName val="factor_sheet10"/>
      <sheetName val="Exp_35"/>
      <sheetName val="INDIGINEOUS_ITEMS_35"/>
      <sheetName val="E_&amp;_R35"/>
      <sheetName val="Load_Details(B1)35"/>
      <sheetName val="Break_Dw35"/>
      <sheetName val="SPT_vs_PHI35"/>
      <sheetName val="Civil_Boq35"/>
      <sheetName val="PA-_Consutant_35"/>
      <sheetName val="Debits_as_on_12_04_0835"/>
      <sheetName val="Sheet3_(2)35"/>
      <sheetName val="INDORAMA_Group_June_0235"/>
      <sheetName val="PART-I_(2)37"/>
      <sheetName val="final_abstract37"/>
      <sheetName val="Basement_Budget36"/>
      <sheetName val="Rate_analysis36"/>
      <sheetName val="Fee_Rate_Summary36"/>
      <sheetName val="Materials_Cost36"/>
      <sheetName val="10__&amp;_11__Rate_Code_&amp;_BQ36"/>
      <sheetName val="Break_up_Sheet36"/>
      <sheetName val="B_&amp;_C_-_M_-_ccp36"/>
      <sheetName val="RES_STEEL_TO36"/>
      <sheetName val="RMZ_Summary36"/>
      <sheetName val="Materials_36"/>
      <sheetName val="Field_Values36"/>
      <sheetName val="Fin_Sum36"/>
      <sheetName val="Fill_this_out_first___36"/>
      <sheetName val="Site_Dev_BOQ36"/>
      <sheetName val="Staff_Forecast_spread36"/>
      <sheetName val="Structure_Bills_Qty36"/>
      <sheetName val="Builtup_Area36"/>
      <sheetName val="MASTER_RATE_ANALYSIS36"/>
      <sheetName val="Cop_-VGN36"/>
      <sheetName val="Pipe_Supports36"/>
      <sheetName val="MN_T_B_36"/>
      <sheetName val="BOQ_Direct_selling_cost36"/>
      <sheetName val="Stress_Calculation36"/>
      <sheetName val="IO_List36"/>
      <sheetName val="TBAL9697_-group_wise__sdpl36"/>
      <sheetName val="factor_sheet11"/>
      <sheetName val="Exp_36"/>
      <sheetName val="INDIGINEOUS_ITEMS_36"/>
      <sheetName val="E_&amp;_R36"/>
      <sheetName val="Load_Details(B1)36"/>
      <sheetName val="Break_Dw36"/>
      <sheetName val="SPT_vs_PHI36"/>
      <sheetName val="Civil_Boq36"/>
      <sheetName val="PA-_Consutant_36"/>
      <sheetName val="Debits_as_on_12_04_0836"/>
      <sheetName val="Sheet3_(2)36"/>
      <sheetName val="INDORAMA_Group_June_0236"/>
      <sheetName val="PART-I_(2)44"/>
      <sheetName val="final_abstract44"/>
      <sheetName val="Basement_Budget43"/>
      <sheetName val="Rate_analysis43"/>
      <sheetName val="Fee_Rate_Summary43"/>
      <sheetName val="Materials_Cost43"/>
      <sheetName val="10__&amp;_11__Rate_Code_&amp;_BQ43"/>
      <sheetName val="Break_up_Sheet43"/>
      <sheetName val="B_&amp;_C_-_M_-_ccp43"/>
      <sheetName val="RES_STEEL_TO43"/>
      <sheetName val="RMZ_Summary43"/>
      <sheetName val="Materials_43"/>
      <sheetName val="Field_Values43"/>
      <sheetName val="Fin_Sum43"/>
      <sheetName val="Fill_this_out_first___43"/>
      <sheetName val="Site_Dev_BOQ43"/>
      <sheetName val="Staff_Forecast_spread43"/>
      <sheetName val="Structure_Bills_Qty43"/>
      <sheetName val="Builtup_Area43"/>
      <sheetName val="MASTER_RATE_ANALYSIS43"/>
      <sheetName val="Cop_-VGN43"/>
      <sheetName val="Pipe_Supports43"/>
      <sheetName val="MN_T_B_43"/>
      <sheetName val="BOQ_Direct_selling_cost43"/>
      <sheetName val="Stress_Calculation43"/>
      <sheetName val="IO_List43"/>
      <sheetName val="TBAL9697_-group_wise__sdpl43"/>
      <sheetName val="factor_sheet16"/>
      <sheetName val="Exp_43"/>
      <sheetName val="INDIGINEOUS_ITEMS_43"/>
      <sheetName val="E_&amp;_R43"/>
      <sheetName val="Load_Details(B1)43"/>
      <sheetName val="Break_Dw43"/>
      <sheetName val="SPT_vs_PHI43"/>
      <sheetName val="Civil_Boq43"/>
      <sheetName val="PA-_Consutant_43"/>
      <sheetName val="Debits_as_on_12_04_0843"/>
      <sheetName val="Sheet3_(2)43"/>
      <sheetName val="INDORAMA_Group_June_0243"/>
      <sheetName val="PART-I_(2)39"/>
      <sheetName val="final_abstract39"/>
      <sheetName val="Basement_Budget38"/>
      <sheetName val="Rate_analysis38"/>
      <sheetName val="Fee_Rate_Summary38"/>
      <sheetName val="Materials_Cost38"/>
      <sheetName val="10__&amp;_11__Rate_Code_&amp;_BQ38"/>
      <sheetName val="Break_up_Sheet38"/>
      <sheetName val="B_&amp;_C_-_M_-_ccp38"/>
      <sheetName val="RES_STEEL_TO38"/>
      <sheetName val="RMZ_Summary38"/>
      <sheetName val="Materials_38"/>
      <sheetName val="Field_Values38"/>
      <sheetName val="Fin_Sum38"/>
      <sheetName val="Fill_this_out_first___38"/>
      <sheetName val="Site_Dev_BOQ38"/>
      <sheetName val="Staff_Forecast_spread38"/>
      <sheetName val="Structure_Bills_Qty38"/>
      <sheetName val="Builtup_Area38"/>
      <sheetName val="MASTER_RATE_ANALYSIS38"/>
      <sheetName val="Cop_-VGN38"/>
      <sheetName val="Pipe_Supports38"/>
      <sheetName val="MN_T_B_38"/>
      <sheetName val="BOQ_Direct_selling_cost38"/>
      <sheetName val="Stress_Calculation38"/>
      <sheetName val="IO_List38"/>
      <sheetName val="TBAL9697_-group_wise__sdpl38"/>
      <sheetName val="Exp_38"/>
      <sheetName val="INDIGINEOUS_ITEMS_38"/>
      <sheetName val="E_&amp;_R38"/>
      <sheetName val="Load_Details(B1)38"/>
      <sheetName val="Break_Dw38"/>
      <sheetName val="SPT_vs_PHI38"/>
      <sheetName val="Civil_Boq38"/>
      <sheetName val="PA-_Consutant_38"/>
      <sheetName val="Debits_as_on_12_04_0838"/>
      <sheetName val="Sheet3_(2)38"/>
      <sheetName val="INDORAMA_Group_June_0238"/>
      <sheetName val="PART-I_(2)40"/>
      <sheetName val="final_abstract40"/>
      <sheetName val="Basement_Budget39"/>
      <sheetName val="Rate_analysis39"/>
      <sheetName val="Fee_Rate_Summary39"/>
      <sheetName val="Materials_Cost39"/>
      <sheetName val="10__&amp;_11__Rate_Code_&amp;_BQ39"/>
      <sheetName val="Break_up_Sheet39"/>
      <sheetName val="B_&amp;_C_-_M_-_ccp39"/>
      <sheetName val="RES_STEEL_TO39"/>
      <sheetName val="RMZ_Summary39"/>
      <sheetName val="Materials_39"/>
      <sheetName val="Field_Values39"/>
      <sheetName val="Fin_Sum39"/>
      <sheetName val="Fill_this_out_first___39"/>
      <sheetName val="Site_Dev_BOQ39"/>
      <sheetName val="Staff_Forecast_spread39"/>
      <sheetName val="Structure_Bills_Qty39"/>
      <sheetName val="Builtup_Area39"/>
      <sheetName val="MASTER_RATE_ANALYSIS39"/>
      <sheetName val="Cop_-VGN39"/>
      <sheetName val="Pipe_Supports39"/>
      <sheetName val="MN_T_B_39"/>
      <sheetName val="BOQ_Direct_selling_cost39"/>
      <sheetName val="Stress_Calculation39"/>
      <sheetName val="IO_List39"/>
      <sheetName val="TBAL9697_-group_wise__sdpl39"/>
      <sheetName val="Exp_39"/>
      <sheetName val="INDIGINEOUS_ITEMS_39"/>
      <sheetName val="E_&amp;_R39"/>
      <sheetName val="Load_Details(B1)39"/>
      <sheetName val="Break_Dw39"/>
      <sheetName val="SPT_vs_PHI39"/>
      <sheetName val="Civil_Boq39"/>
      <sheetName val="PA-_Consutant_39"/>
      <sheetName val="Debits_as_on_12_04_0839"/>
      <sheetName val="Sheet3_(2)39"/>
      <sheetName val="INDORAMA_Group_June_0239"/>
      <sheetName val="PART-I_(2)42"/>
      <sheetName val="final_abstract42"/>
      <sheetName val="Basement_Budget41"/>
      <sheetName val="Rate_analysis41"/>
      <sheetName val="Fee_Rate_Summary41"/>
      <sheetName val="Materials_Cost41"/>
      <sheetName val="10__&amp;_11__Rate_Code_&amp;_BQ41"/>
      <sheetName val="Break_up_Sheet41"/>
      <sheetName val="B_&amp;_C_-_M_-_ccp41"/>
      <sheetName val="RES_STEEL_TO41"/>
      <sheetName val="RMZ_Summary41"/>
      <sheetName val="Materials_41"/>
      <sheetName val="Field_Values41"/>
      <sheetName val="Fin_Sum41"/>
      <sheetName val="Fill_this_out_first___41"/>
      <sheetName val="Site_Dev_BOQ41"/>
      <sheetName val="Staff_Forecast_spread41"/>
      <sheetName val="Structure_Bills_Qty41"/>
      <sheetName val="Builtup_Area41"/>
      <sheetName val="MASTER_RATE_ANALYSIS41"/>
      <sheetName val="Cop_-VGN41"/>
      <sheetName val="Pipe_Supports41"/>
      <sheetName val="MN_T_B_41"/>
      <sheetName val="BOQ_Direct_selling_cost41"/>
      <sheetName val="Stress_Calculation41"/>
      <sheetName val="IO_List41"/>
      <sheetName val="TBAL9697_-group_wise__sdpl41"/>
      <sheetName val="factor_sheet14"/>
      <sheetName val="Exp_41"/>
      <sheetName val="INDIGINEOUS_ITEMS_41"/>
      <sheetName val="E_&amp;_R41"/>
      <sheetName val="Load_Details(B1)41"/>
      <sheetName val="Break_Dw41"/>
      <sheetName val="SPT_vs_PHI41"/>
      <sheetName val="Civil_Boq41"/>
      <sheetName val="PA-_Consutant_41"/>
      <sheetName val="Debits_as_on_12_04_0841"/>
      <sheetName val="Sheet3_(2)41"/>
      <sheetName val="INDORAMA_Group_June_0241"/>
      <sheetName val="PART-I_(2)41"/>
      <sheetName val="final_abstract41"/>
      <sheetName val="Basement_Budget40"/>
      <sheetName val="Rate_analysis40"/>
      <sheetName val="Fee_Rate_Summary40"/>
      <sheetName val="Materials_Cost40"/>
      <sheetName val="10__&amp;_11__Rate_Code_&amp;_BQ40"/>
      <sheetName val="Break_up_Sheet40"/>
      <sheetName val="B_&amp;_C_-_M_-_ccp40"/>
      <sheetName val="RES_STEEL_TO40"/>
      <sheetName val="RMZ_Summary40"/>
      <sheetName val="Materials_40"/>
      <sheetName val="Field_Values40"/>
      <sheetName val="Fin_Sum40"/>
      <sheetName val="Fill_this_out_first___40"/>
      <sheetName val="Site_Dev_BOQ40"/>
      <sheetName val="Staff_Forecast_spread40"/>
      <sheetName val="Structure_Bills_Qty40"/>
      <sheetName val="Builtup_Area40"/>
      <sheetName val="MASTER_RATE_ANALYSIS40"/>
      <sheetName val="Cop_-VGN40"/>
      <sheetName val="Pipe_Supports40"/>
      <sheetName val="MN_T_B_40"/>
      <sheetName val="BOQ_Direct_selling_cost40"/>
      <sheetName val="Stress_Calculation40"/>
      <sheetName val="IO_List40"/>
      <sheetName val="TBAL9697_-group_wise__sdpl40"/>
      <sheetName val="factor_sheet13"/>
      <sheetName val="Exp_40"/>
      <sheetName val="INDIGINEOUS_ITEMS_40"/>
      <sheetName val="E_&amp;_R40"/>
      <sheetName val="Load_Details(B1)40"/>
      <sheetName val="Break_Dw40"/>
      <sheetName val="SPT_vs_PHI40"/>
      <sheetName val="Civil_Boq40"/>
      <sheetName val="PA-_Consutant_40"/>
      <sheetName val="Debits_as_on_12_04_0840"/>
      <sheetName val="Sheet3_(2)40"/>
      <sheetName val="INDORAMA_Group_June_0240"/>
      <sheetName val="PART-I_(2)43"/>
      <sheetName val="final_abstract43"/>
      <sheetName val="Basement_Budget42"/>
      <sheetName val="Rate_analysis42"/>
      <sheetName val="Fee_Rate_Summary42"/>
      <sheetName val="Materials_Cost42"/>
      <sheetName val="10__&amp;_11__Rate_Code_&amp;_BQ42"/>
      <sheetName val="Break_up_Sheet42"/>
      <sheetName val="B_&amp;_C_-_M_-_ccp42"/>
      <sheetName val="RES_STEEL_TO42"/>
      <sheetName val="RMZ_Summary42"/>
      <sheetName val="Materials_42"/>
      <sheetName val="Field_Values42"/>
      <sheetName val="Fin_Sum42"/>
      <sheetName val="Fill_this_out_first___42"/>
      <sheetName val="Site_Dev_BOQ42"/>
      <sheetName val="Staff_Forecast_spread42"/>
      <sheetName val="Structure_Bills_Qty42"/>
      <sheetName val="Builtup_Area42"/>
      <sheetName val="MASTER_RATE_ANALYSIS42"/>
      <sheetName val="Cop_-VGN42"/>
      <sheetName val="Pipe_Supports42"/>
      <sheetName val="MN_T_B_42"/>
      <sheetName val="BOQ_Direct_selling_cost42"/>
      <sheetName val="Stress_Calculation42"/>
      <sheetName val="IO_List42"/>
      <sheetName val="TBAL9697_-group_wise__sdpl42"/>
      <sheetName val="factor_sheet15"/>
      <sheetName val="Exp_42"/>
      <sheetName val="INDIGINEOUS_ITEMS_42"/>
      <sheetName val="E_&amp;_R42"/>
      <sheetName val="Load_Details(B1)42"/>
      <sheetName val="Break_Dw42"/>
      <sheetName val="SPT_vs_PHI42"/>
      <sheetName val="Civil_Boq42"/>
      <sheetName val="PA-_Consutant_42"/>
      <sheetName val="Debits_as_on_12_04_0842"/>
      <sheetName val="Sheet3_(2)42"/>
      <sheetName val="INDORAMA_Group_June_0242"/>
      <sheetName val="PART-I_(2)45"/>
      <sheetName val="final_abstract45"/>
      <sheetName val="Basement_Budget44"/>
      <sheetName val="Rate_analysis44"/>
      <sheetName val="Fee_Rate_Summary44"/>
      <sheetName val="Materials_Cost44"/>
      <sheetName val="10__&amp;_11__Rate_Code_&amp;_BQ44"/>
      <sheetName val="Break_up_Sheet44"/>
      <sheetName val="B_&amp;_C_-_M_-_ccp44"/>
      <sheetName val="RES_STEEL_TO44"/>
      <sheetName val="RMZ_Summary44"/>
      <sheetName val="Materials_44"/>
      <sheetName val="Field_Values44"/>
      <sheetName val="Fin_Sum44"/>
      <sheetName val="Fill_this_out_first___44"/>
      <sheetName val="Site_Dev_BOQ44"/>
      <sheetName val="Staff_Forecast_spread44"/>
      <sheetName val="Structure_Bills_Qty44"/>
      <sheetName val="Builtup_Area44"/>
      <sheetName val="MASTER_RATE_ANALYSIS44"/>
      <sheetName val="Cop_-VGN44"/>
      <sheetName val="Pipe_Supports44"/>
      <sheetName val="MN_T_B_44"/>
      <sheetName val="BOQ_Direct_selling_cost44"/>
      <sheetName val="Stress_Calculation44"/>
      <sheetName val="IO_List44"/>
      <sheetName val="TBAL9697_-group_wise__sdpl44"/>
      <sheetName val="factor_sheet17"/>
      <sheetName val="Exp_44"/>
      <sheetName val="INDIGINEOUS_ITEMS_44"/>
      <sheetName val="E_&amp;_R44"/>
      <sheetName val="Load_Details(B1)44"/>
      <sheetName val="Break_Dw44"/>
      <sheetName val="SPT_vs_PHI44"/>
      <sheetName val="Civil_Boq44"/>
      <sheetName val="PA-_Consutant_44"/>
      <sheetName val="Debits_as_on_12_04_0844"/>
      <sheetName val="Sheet3_(2)44"/>
      <sheetName val="INDORAMA_Group_June_0244"/>
      <sheetName val="PART-I_(2)58"/>
      <sheetName val="final_abstract58"/>
      <sheetName val="Basement_Budget57"/>
      <sheetName val="Rate_analysis57"/>
      <sheetName val="Fee_Rate_Summary57"/>
      <sheetName val="Materials_Cost57"/>
      <sheetName val="10__&amp;_11__Rate_Code_&amp;_BQ57"/>
      <sheetName val="Break_up_Sheet57"/>
      <sheetName val="B_&amp;_C_-_M_-_ccp57"/>
      <sheetName val="RES_STEEL_TO57"/>
      <sheetName val="RMZ_Summary57"/>
      <sheetName val="Materials_57"/>
      <sheetName val="Field_Values57"/>
      <sheetName val="Fin_Sum57"/>
      <sheetName val="Fill_this_out_first___57"/>
      <sheetName val="Site_Dev_BOQ57"/>
      <sheetName val="Staff_Forecast_spread57"/>
      <sheetName val="Structure_Bills_Qty57"/>
      <sheetName val="Builtup_Area57"/>
      <sheetName val="MASTER_RATE_ANALYSIS57"/>
      <sheetName val="Cop_-VGN57"/>
      <sheetName val="Pipe_Supports57"/>
      <sheetName val="MN_T_B_57"/>
      <sheetName val="BOQ_Direct_selling_cost57"/>
      <sheetName val="Stress_Calculation57"/>
      <sheetName val="IO_List57"/>
      <sheetName val="TBAL9697_-group_wise__sdpl57"/>
      <sheetName val="factor_sheet30"/>
      <sheetName val="Exp_57"/>
      <sheetName val="INDIGINEOUS_ITEMS_57"/>
      <sheetName val="E_&amp;_R57"/>
      <sheetName val="Load_Details(B1)57"/>
      <sheetName val="Break_Dw57"/>
      <sheetName val="SPT_vs_PHI57"/>
      <sheetName val="Civil_Boq57"/>
      <sheetName val="PA-_Consutant_57"/>
      <sheetName val="Debits_as_on_12_04_0857"/>
      <sheetName val="Sheet3_(2)57"/>
      <sheetName val="INDORAMA_Group_June_0257"/>
      <sheetName val="PART-I_(2)46"/>
      <sheetName val="final_abstract46"/>
      <sheetName val="Basement_Budget45"/>
      <sheetName val="Rate_analysis45"/>
      <sheetName val="Fee_Rate_Summary45"/>
      <sheetName val="Materials_Cost45"/>
      <sheetName val="10__&amp;_11__Rate_Code_&amp;_BQ45"/>
      <sheetName val="Break_up_Sheet45"/>
      <sheetName val="B_&amp;_C_-_M_-_ccp45"/>
      <sheetName val="RES_STEEL_TO45"/>
      <sheetName val="RMZ_Summary45"/>
      <sheetName val="Materials_45"/>
      <sheetName val="Field_Values45"/>
      <sheetName val="Fin_Sum45"/>
      <sheetName val="Fill_this_out_first___45"/>
      <sheetName val="Site_Dev_BOQ45"/>
      <sheetName val="Staff_Forecast_spread45"/>
      <sheetName val="Structure_Bills_Qty45"/>
      <sheetName val="Builtup_Area45"/>
      <sheetName val="MASTER_RATE_ANALYSIS45"/>
      <sheetName val="Cop_-VGN45"/>
      <sheetName val="Pipe_Supports45"/>
      <sheetName val="MN_T_B_45"/>
      <sheetName val="BOQ_Direct_selling_cost45"/>
      <sheetName val="Stress_Calculation45"/>
      <sheetName val="IO_List45"/>
      <sheetName val="TBAL9697_-group_wise__sdpl45"/>
      <sheetName val="factor_sheet18"/>
      <sheetName val="Exp_45"/>
      <sheetName val="INDIGINEOUS_ITEMS_45"/>
      <sheetName val="E_&amp;_R45"/>
      <sheetName val="Load_Details(B1)45"/>
      <sheetName val="Break_Dw45"/>
      <sheetName val="SPT_vs_PHI45"/>
      <sheetName val="Civil_Boq45"/>
      <sheetName val="PA-_Consutant_45"/>
      <sheetName val="Debits_as_on_12_04_0845"/>
      <sheetName val="Sheet3_(2)45"/>
      <sheetName val="INDORAMA_Group_June_0245"/>
      <sheetName val="PART-I_(2)47"/>
      <sheetName val="final_abstract47"/>
      <sheetName val="Basement_Budget46"/>
      <sheetName val="Rate_analysis46"/>
      <sheetName val="Fee_Rate_Summary46"/>
      <sheetName val="Materials_Cost46"/>
      <sheetName val="10__&amp;_11__Rate_Code_&amp;_BQ46"/>
      <sheetName val="Break_up_Sheet46"/>
      <sheetName val="B_&amp;_C_-_M_-_ccp46"/>
      <sheetName val="RES_STEEL_TO46"/>
      <sheetName val="RMZ_Summary46"/>
      <sheetName val="Materials_46"/>
      <sheetName val="Field_Values46"/>
      <sheetName val="Fin_Sum46"/>
      <sheetName val="Fill_this_out_first___46"/>
      <sheetName val="Site_Dev_BOQ46"/>
      <sheetName val="Staff_Forecast_spread46"/>
      <sheetName val="Structure_Bills_Qty46"/>
      <sheetName val="Builtup_Area46"/>
      <sheetName val="MASTER_RATE_ANALYSIS46"/>
      <sheetName val="Cop_-VGN46"/>
      <sheetName val="Pipe_Supports46"/>
      <sheetName val="MN_T_B_46"/>
      <sheetName val="BOQ_Direct_selling_cost46"/>
      <sheetName val="Stress_Calculation46"/>
      <sheetName val="IO_List46"/>
      <sheetName val="TBAL9697_-group_wise__sdpl46"/>
      <sheetName val="factor_sheet19"/>
      <sheetName val="Exp_46"/>
      <sheetName val="INDIGINEOUS_ITEMS_46"/>
      <sheetName val="E_&amp;_R46"/>
      <sheetName val="Load_Details(B1)46"/>
      <sheetName val="Break_Dw46"/>
      <sheetName val="SPT_vs_PHI46"/>
      <sheetName val="Civil_Boq46"/>
      <sheetName val="PA-_Consutant_46"/>
      <sheetName val="Debits_as_on_12_04_0846"/>
      <sheetName val="Sheet3_(2)46"/>
      <sheetName val="INDORAMA_Group_June_0246"/>
      <sheetName val="PART-I_(2)50"/>
      <sheetName val="final_abstract50"/>
      <sheetName val="Basement_Budget49"/>
      <sheetName val="Rate_analysis49"/>
      <sheetName val="Fee_Rate_Summary49"/>
      <sheetName val="Materials_Cost49"/>
      <sheetName val="10__&amp;_11__Rate_Code_&amp;_BQ49"/>
      <sheetName val="Break_up_Sheet49"/>
      <sheetName val="B_&amp;_C_-_M_-_ccp49"/>
      <sheetName val="RES_STEEL_TO49"/>
      <sheetName val="RMZ_Summary49"/>
      <sheetName val="Materials_49"/>
      <sheetName val="Field_Values49"/>
      <sheetName val="Fin_Sum49"/>
      <sheetName val="Fill_this_out_first___49"/>
      <sheetName val="Site_Dev_BOQ49"/>
      <sheetName val="Staff_Forecast_spread49"/>
      <sheetName val="Structure_Bills_Qty49"/>
      <sheetName val="Builtup_Area49"/>
      <sheetName val="MASTER_RATE_ANALYSIS49"/>
      <sheetName val="Cop_-VGN49"/>
      <sheetName val="Pipe_Supports49"/>
      <sheetName val="MN_T_B_49"/>
      <sheetName val="BOQ_Direct_selling_cost49"/>
      <sheetName val="Stress_Calculation49"/>
      <sheetName val="IO_List49"/>
      <sheetName val="TBAL9697_-group_wise__sdpl49"/>
      <sheetName val="factor_sheet22"/>
      <sheetName val="Exp_49"/>
      <sheetName val="INDIGINEOUS_ITEMS_49"/>
      <sheetName val="E_&amp;_R49"/>
      <sheetName val="Load_Details(B1)49"/>
      <sheetName val="Break_Dw49"/>
      <sheetName val="SPT_vs_PHI49"/>
      <sheetName val="Civil_Boq49"/>
      <sheetName val="PA-_Consutant_49"/>
      <sheetName val="Debits_as_on_12_04_0849"/>
      <sheetName val="Sheet3_(2)49"/>
      <sheetName val="INDORAMA_Group_June_0249"/>
      <sheetName val="PART-I_(2)48"/>
      <sheetName val="final_abstract48"/>
      <sheetName val="Basement_Budget47"/>
      <sheetName val="Rate_analysis47"/>
      <sheetName val="Fee_Rate_Summary47"/>
      <sheetName val="Materials_Cost47"/>
      <sheetName val="10__&amp;_11__Rate_Code_&amp;_BQ47"/>
      <sheetName val="Break_up_Sheet47"/>
      <sheetName val="B_&amp;_C_-_M_-_ccp47"/>
      <sheetName val="RES_STEEL_TO47"/>
      <sheetName val="RMZ_Summary47"/>
      <sheetName val="Materials_47"/>
      <sheetName val="Field_Values47"/>
      <sheetName val="Fin_Sum47"/>
      <sheetName val="Fill_this_out_first___47"/>
      <sheetName val="Site_Dev_BOQ47"/>
      <sheetName val="Staff_Forecast_spread47"/>
      <sheetName val="Structure_Bills_Qty47"/>
      <sheetName val="Builtup_Area47"/>
      <sheetName val="MASTER_RATE_ANALYSIS47"/>
      <sheetName val="Cop_-VGN47"/>
      <sheetName val="Pipe_Supports47"/>
      <sheetName val="MN_T_B_47"/>
      <sheetName val="BOQ_Direct_selling_cost47"/>
      <sheetName val="Stress_Calculation47"/>
      <sheetName val="IO_List47"/>
      <sheetName val="TBAL9697_-group_wise__sdpl47"/>
      <sheetName val="factor_sheet20"/>
      <sheetName val="Exp_47"/>
      <sheetName val="INDIGINEOUS_ITEMS_47"/>
      <sheetName val="E_&amp;_R47"/>
      <sheetName val="Load_Details(B1)47"/>
      <sheetName val="Break_Dw47"/>
      <sheetName val="SPT_vs_PHI47"/>
      <sheetName val="Civil_Boq47"/>
      <sheetName val="PA-_Consutant_47"/>
      <sheetName val="Debits_as_on_12_04_0847"/>
      <sheetName val="Sheet3_(2)47"/>
      <sheetName val="INDORAMA_Group_June_0247"/>
      <sheetName val="PART-I_(2)49"/>
      <sheetName val="final_abstract49"/>
      <sheetName val="Basement_Budget48"/>
      <sheetName val="Rate_analysis48"/>
      <sheetName val="Fee_Rate_Summary48"/>
      <sheetName val="Materials_Cost48"/>
      <sheetName val="10__&amp;_11__Rate_Code_&amp;_BQ48"/>
      <sheetName val="Break_up_Sheet48"/>
      <sheetName val="B_&amp;_C_-_M_-_ccp48"/>
      <sheetName val="RES_STEEL_TO48"/>
      <sheetName val="RMZ_Summary48"/>
      <sheetName val="Materials_48"/>
      <sheetName val="Field_Values48"/>
      <sheetName val="Fin_Sum48"/>
      <sheetName val="Fill_this_out_first___48"/>
      <sheetName val="Site_Dev_BOQ48"/>
      <sheetName val="Staff_Forecast_spread48"/>
      <sheetName val="Structure_Bills_Qty48"/>
      <sheetName val="Builtup_Area48"/>
      <sheetName val="MASTER_RATE_ANALYSIS48"/>
      <sheetName val="Cop_-VGN48"/>
      <sheetName val="Pipe_Supports48"/>
      <sheetName val="MN_T_B_48"/>
      <sheetName val="BOQ_Direct_selling_cost48"/>
      <sheetName val="Stress_Calculation48"/>
      <sheetName val="IO_List48"/>
      <sheetName val="TBAL9697_-group_wise__sdpl48"/>
      <sheetName val="factor_sheet21"/>
      <sheetName val="Exp_48"/>
      <sheetName val="INDIGINEOUS_ITEMS_48"/>
      <sheetName val="E_&amp;_R48"/>
      <sheetName val="Load_Details(B1)48"/>
      <sheetName val="Break_Dw48"/>
      <sheetName val="SPT_vs_PHI48"/>
      <sheetName val="Civil_Boq48"/>
      <sheetName val="PA-_Consutant_48"/>
      <sheetName val="Debits_as_on_12_04_0848"/>
      <sheetName val="Sheet3_(2)48"/>
      <sheetName val="INDORAMA_Group_June_0248"/>
      <sheetName val="PART-I_(2)51"/>
      <sheetName val="final_abstract51"/>
      <sheetName val="Basement_Budget50"/>
      <sheetName val="Rate_analysis50"/>
      <sheetName val="Fee_Rate_Summary50"/>
      <sheetName val="Materials_Cost50"/>
      <sheetName val="10__&amp;_11__Rate_Code_&amp;_BQ50"/>
      <sheetName val="Break_up_Sheet50"/>
      <sheetName val="B_&amp;_C_-_M_-_ccp50"/>
      <sheetName val="RES_STEEL_TO50"/>
      <sheetName val="RMZ_Summary50"/>
      <sheetName val="Materials_50"/>
      <sheetName val="Field_Values50"/>
      <sheetName val="Fin_Sum50"/>
      <sheetName val="Fill_this_out_first___50"/>
      <sheetName val="Site_Dev_BOQ50"/>
      <sheetName val="Staff_Forecast_spread50"/>
      <sheetName val="Structure_Bills_Qty50"/>
      <sheetName val="Builtup_Area50"/>
      <sheetName val="MASTER_RATE_ANALYSIS50"/>
      <sheetName val="Cop_-VGN50"/>
      <sheetName val="Pipe_Supports50"/>
      <sheetName val="MN_T_B_50"/>
      <sheetName val="BOQ_Direct_selling_cost50"/>
      <sheetName val="Stress_Calculation50"/>
      <sheetName val="IO_List50"/>
      <sheetName val="TBAL9697_-group_wise__sdpl50"/>
      <sheetName val="factor_sheet23"/>
      <sheetName val="Exp_50"/>
      <sheetName val="INDIGINEOUS_ITEMS_50"/>
      <sheetName val="E_&amp;_R50"/>
      <sheetName val="Load_Details(B1)50"/>
      <sheetName val="Break_Dw50"/>
      <sheetName val="SPT_vs_PHI50"/>
      <sheetName val="Civil_Boq50"/>
      <sheetName val="PA-_Consutant_50"/>
      <sheetName val="Debits_as_on_12_04_0850"/>
      <sheetName val="Sheet3_(2)50"/>
      <sheetName val="INDORAMA_Group_June_0250"/>
      <sheetName val="PART-I_(2)52"/>
      <sheetName val="final_abstract52"/>
      <sheetName val="Basement_Budget51"/>
      <sheetName val="Rate_analysis51"/>
      <sheetName val="Fee_Rate_Summary51"/>
      <sheetName val="Materials_Cost51"/>
      <sheetName val="10__&amp;_11__Rate_Code_&amp;_BQ51"/>
      <sheetName val="Break_up_Sheet51"/>
      <sheetName val="B_&amp;_C_-_M_-_ccp51"/>
      <sheetName val="RES_STEEL_TO51"/>
      <sheetName val="RMZ_Summary51"/>
      <sheetName val="Materials_51"/>
      <sheetName val="Field_Values51"/>
      <sheetName val="Fin_Sum51"/>
      <sheetName val="Fill_this_out_first___51"/>
      <sheetName val="Site_Dev_BOQ51"/>
      <sheetName val="Staff_Forecast_spread51"/>
      <sheetName val="Structure_Bills_Qty51"/>
      <sheetName val="Builtup_Area51"/>
      <sheetName val="MASTER_RATE_ANALYSIS51"/>
      <sheetName val="Cop_-VGN51"/>
      <sheetName val="Pipe_Supports51"/>
      <sheetName val="MN_T_B_51"/>
      <sheetName val="BOQ_Direct_selling_cost51"/>
      <sheetName val="Stress_Calculation51"/>
      <sheetName val="IO_List51"/>
      <sheetName val="TBAL9697_-group_wise__sdpl51"/>
      <sheetName val="factor_sheet24"/>
      <sheetName val="Exp_51"/>
      <sheetName val="INDIGINEOUS_ITEMS_51"/>
      <sheetName val="E_&amp;_R51"/>
      <sheetName val="Load_Details(B1)51"/>
      <sheetName val="Break_Dw51"/>
      <sheetName val="SPT_vs_PHI51"/>
      <sheetName val="Civil_Boq51"/>
      <sheetName val="PA-_Consutant_51"/>
      <sheetName val="Debits_as_on_12_04_0851"/>
      <sheetName val="Sheet3_(2)51"/>
      <sheetName val="INDORAMA_Group_June_0251"/>
      <sheetName val="PART-I_(2)53"/>
      <sheetName val="final_abstract53"/>
      <sheetName val="Basement_Budget52"/>
      <sheetName val="Rate_analysis52"/>
      <sheetName val="Fee_Rate_Summary52"/>
      <sheetName val="Materials_Cost52"/>
      <sheetName val="10__&amp;_11__Rate_Code_&amp;_BQ52"/>
      <sheetName val="Break_up_Sheet52"/>
      <sheetName val="B_&amp;_C_-_M_-_ccp52"/>
      <sheetName val="RES_STEEL_TO52"/>
      <sheetName val="RMZ_Summary52"/>
      <sheetName val="Materials_52"/>
      <sheetName val="Field_Values52"/>
      <sheetName val="Fin_Sum52"/>
      <sheetName val="Fill_this_out_first___52"/>
      <sheetName val="Site_Dev_BOQ52"/>
      <sheetName val="Staff_Forecast_spread52"/>
      <sheetName val="Structure_Bills_Qty52"/>
      <sheetName val="Builtup_Area52"/>
      <sheetName val="MASTER_RATE_ANALYSIS52"/>
      <sheetName val="Cop_-VGN52"/>
      <sheetName val="Pipe_Supports52"/>
      <sheetName val="MN_T_B_52"/>
      <sheetName val="BOQ_Direct_selling_cost52"/>
      <sheetName val="Stress_Calculation52"/>
      <sheetName val="IO_List52"/>
      <sheetName val="TBAL9697_-group_wise__sdpl52"/>
      <sheetName val="factor_sheet25"/>
      <sheetName val="Exp_52"/>
      <sheetName val="INDIGINEOUS_ITEMS_52"/>
      <sheetName val="E_&amp;_R52"/>
      <sheetName val="Load_Details(B1)52"/>
      <sheetName val="Break_Dw52"/>
      <sheetName val="SPT_vs_PHI52"/>
      <sheetName val="Civil_Boq52"/>
      <sheetName val="PA-_Consutant_52"/>
      <sheetName val="Debits_as_on_12_04_0852"/>
      <sheetName val="Sheet3_(2)52"/>
      <sheetName val="INDORAMA_Group_June_0252"/>
      <sheetName val="PART-I_(2)54"/>
      <sheetName val="final_abstract54"/>
      <sheetName val="Basement_Budget53"/>
      <sheetName val="Rate_analysis53"/>
      <sheetName val="Fee_Rate_Summary53"/>
      <sheetName val="Materials_Cost53"/>
      <sheetName val="10__&amp;_11__Rate_Code_&amp;_BQ53"/>
      <sheetName val="Break_up_Sheet53"/>
      <sheetName val="B_&amp;_C_-_M_-_ccp53"/>
      <sheetName val="RES_STEEL_TO53"/>
      <sheetName val="RMZ_Summary53"/>
      <sheetName val="Materials_53"/>
      <sheetName val="Field_Values53"/>
      <sheetName val="Fin_Sum53"/>
      <sheetName val="Fill_this_out_first___53"/>
      <sheetName val="Site_Dev_BOQ53"/>
      <sheetName val="Staff_Forecast_spread53"/>
      <sheetName val="Structure_Bills_Qty53"/>
      <sheetName val="Builtup_Area53"/>
      <sheetName val="MASTER_RATE_ANALYSIS53"/>
      <sheetName val="Cop_-VGN53"/>
      <sheetName val="Pipe_Supports53"/>
      <sheetName val="MN_T_B_53"/>
      <sheetName val="BOQ_Direct_selling_cost53"/>
      <sheetName val="Stress_Calculation53"/>
      <sheetName val="IO_List53"/>
      <sheetName val="TBAL9697_-group_wise__sdpl53"/>
      <sheetName val="factor_sheet26"/>
      <sheetName val="Exp_53"/>
      <sheetName val="INDIGINEOUS_ITEMS_53"/>
      <sheetName val="E_&amp;_R53"/>
      <sheetName val="Load_Details(B1)53"/>
      <sheetName val="Break_Dw53"/>
      <sheetName val="SPT_vs_PHI53"/>
      <sheetName val="Civil_Boq53"/>
      <sheetName val="PA-_Consutant_53"/>
      <sheetName val="Debits_as_on_12_04_0853"/>
      <sheetName val="Sheet3_(2)53"/>
      <sheetName val="INDORAMA_Group_June_0253"/>
      <sheetName val="PART-I_(2)55"/>
      <sheetName val="final_abstract55"/>
      <sheetName val="Basement_Budget54"/>
      <sheetName val="Rate_analysis54"/>
      <sheetName val="Fee_Rate_Summary54"/>
      <sheetName val="Materials_Cost54"/>
      <sheetName val="10__&amp;_11__Rate_Code_&amp;_BQ54"/>
      <sheetName val="Break_up_Sheet54"/>
      <sheetName val="B_&amp;_C_-_M_-_ccp54"/>
      <sheetName val="RES_STEEL_TO54"/>
      <sheetName val="RMZ_Summary54"/>
      <sheetName val="Materials_54"/>
      <sheetName val="Field_Values54"/>
      <sheetName val="Fin_Sum54"/>
      <sheetName val="Fill_this_out_first___54"/>
      <sheetName val="Site_Dev_BOQ54"/>
      <sheetName val="Staff_Forecast_spread54"/>
      <sheetName val="Structure_Bills_Qty54"/>
      <sheetName val="Builtup_Area54"/>
      <sheetName val="MASTER_RATE_ANALYSIS54"/>
      <sheetName val="Cop_-VGN54"/>
      <sheetName val="Pipe_Supports54"/>
      <sheetName val="MN_T_B_54"/>
      <sheetName val="BOQ_Direct_selling_cost54"/>
      <sheetName val="Stress_Calculation54"/>
      <sheetName val="IO_List54"/>
      <sheetName val="TBAL9697_-group_wise__sdpl54"/>
      <sheetName val="factor_sheet27"/>
      <sheetName val="Exp_54"/>
      <sheetName val="INDIGINEOUS_ITEMS_54"/>
      <sheetName val="E_&amp;_R54"/>
      <sheetName val="Load_Details(B1)54"/>
      <sheetName val="Break_Dw54"/>
      <sheetName val="SPT_vs_PHI54"/>
      <sheetName val="Civil_Boq54"/>
      <sheetName val="PA-_Consutant_54"/>
      <sheetName val="Debits_as_on_12_04_0854"/>
      <sheetName val="Sheet3_(2)54"/>
      <sheetName val="INDORAMA_Group_June_0254"/>
      <sheetName val="PART-I_(2)57"/>
      <sheetName val="final_abstract57"/>
      <sheetName val="Basement_Budget56"/>
      <sheetName val="Rate_analysis56"/>
      <sheetName val="Fee_Rate_Summary56"/>
      <sheetName val="Materials_Cost56"/>
      <sheetName val="10__&amp;_11__Rate_Code_&amp;_BQ56"/>
      <sheetName val="Break_up_Sheet56"/>
      <sheetName val="B_&amp;_C_-_M_-_ccp56"/>
      <sheetName val="RES_STEEL_TO56"/>
      <sheetName val="RMZ_Summary56"/>
      <sheetName val="Materials_56"/>
      <sheetName val="Field_Values56"/>
      <sheetName val="Fin_Sum56"/>
      <sheetName val="Fill_this_out_first___56"/>
      <sheetName val="Site_Dev_BOQ56"/>
      <sheetName val="Staff_Forecast_spread56"/>
      <sheetName val="Structure_Bills_Qty56"/>
      <sheetName val="Builtup_Area56"/>
      <sheetName val="MASTER_RATE_ANALYSIS56"/>
      <sheetName val="Cop_-VGN56"/>
      <sheetName val="Pipe_Supports56"/>
      <sheetName val="MN_T_B_56"/>
      <sheetName val="BOQ_Direct_selling_cost56"/>
      <sheetName val="Stress_Calculation56"/>
      <sheetName val="IO_List56"/>
      <sheetName val="TBAL9697_-group_wise__sdpl56"/>
      <sheetName val="factor_sheet29"/>
      <sheetName val="Exp_56"/>
      <sheetName val="INDIGINEOUS_ITEMS_56"/>
      <sheetName val="E_&amp;_R56"/>
      <sheetName val="Load_Details(B1)56"/>
      <sheetName val="Break_Dw56"/>
      <sheetName val="SPT_vs_PHI56"/>
      <sheetName val="Civil_Boq56"/>
      <sheetName val="PA-_Consutant_56"/>
      <sheetName val="Debits_as_on_12_04_0856"/>
      <sheetName val="Sheet3_(2)56"/>
      <sheetName val="INDORAMA_Group_June_0256"/>
      <sheetName val="PART-I_(2)56"/>
      <sheetName val="final_abstract56"/>
      <sheetName val="Basement_Budget55"/>
      <sheetName val="Rate_analysis55"/>
      <sheetName val="Fee_Rate_Summary55"/>
      <sheetName val="Materials_Cost55"/>
      <sheetName val="10__&amp;_11__Rate_Code_&amp;_BQ55"/>
      <sheetName val="Break_up_Sheet55"/>
      <sheetName val="B_&amp;_C_-_M_-_ccp55"/>
      <sheetName val="RES_STEEL_TO55"/>
      <sheetName val="RMZ_Summary55"/>
      <sheetName val="Materials_55"/>
      <sheetName val="Field_Values55"/>
      <sheetName val="Fin_Sum55"/>
      <sheetName val="Fill_this_out_first___55"/>
      <sheetName val="Site_Dev_BOQ55"/>
      <sheetName val="Staff_Forecast_spread55"/>
      <sheetName val="Structure_Bills_Qty55"/>
      <sheetName val="Builtup_Area55"/>
      <sheetName val="MASTER_RATE_ANALYSIS55"/>
      <sheetName val="Cop_-VGN55"/>
      <sheetName val="Pipe_Supports55"/>
      <sheetName val="MN_T_B_55"/>
      <sheetName val="BOQ_Direct_selling_cost55"/>
      <sheetName val="Stress_Calculation55"/>
      <sheetName val="IO_List55"/>
      <sheetName val="TBAL9697_-group_wise__sdpl55"/>
      <sheetName val="factor_sheet28"/>
      <sheetName val="Exp_55"/>
      <sheetName val="INDIGINEOUS_ITEMS_55"/>
      <sheetName val="E_&amp;_R55"/>
      <sheetName val="Load_Details(B1)55"/>
      <sheetName val="Break_Dw55"/>
      <sheetName val="SPT_vs_PHI55"/>
      <sheetName val="Civil_Boq55"/>
      <sheetName val="PA-_Consutant_55"/>
      <sheetName val="Debits_as_on_12_04_0855"/>
      <sheetName val="Sheet3_(2)55"/>
      <sheetName val="INDORAMA_Group_June_0255"/>
      <sheetName val="PART-I_(2)59"/>
      <sheetName val="final_abstract59"/>
      <sheetName val="Basement_Budget58"/>
      <sheetName val="Rate_analysis58"/>
      <sheetName val="Fee_Rate_Summary58"/>
      <sheetName val="Materials_Cost58"/>
      <sheetName val="10__&amp;_11__Rate_Code_&amp;_BQ58"/>
      <sheetName val="Break_up_Sheet58"/>
      <sheetName val="B_&amp;_C_-_M_-_ccp58"/>
      <sheetName val="RES_STEEL_TO58"/>
      <sheetName val="RMZ_Summary58"/>
      <sheetName val="Materials_58"/>
      <sheetName val="Field_Values58"/>
      <sheetName val="Fin_Sum58"/>
      <sheetName val="Fill_this_out_first___58"/>
      <sheetName val="Site_Dev_BOQ58"/>
      <sheetName val="Staff_Forecast_spread58"/>
      <sheetName val="Structure_Bills_Qty58"/>
      <sheetName val="Builtup_Area58"/>
      <sheetName val="MASTER_RATE_ANALYSIS58"/>
      <sheetName val="Cop_-VGN58"/>
      <sheetName val="Pipe_Supports58"/>
      <sheetName val="MN_T_B_58"/>
      <sheetName val="BOQ_Direct_selling_cost58"/>
      <sheetName val="Stress_Calculation58"/>
      <sheetName val="IO_List58"/>
      <sheetName val="TBAL9697_-group_wise__sdpl58"/>
      <sheetName val="factor_sheet31"/>
      <sheetName val="Exp_58"/>
      <sheetName val="INDIGINEOUS_ITEMS_58"/>
      <sheetName val="E_&amp;_R58"/>
      <sheetName val="Load_Details(B1)58"/>
      <sheetName val="Break_Dw58"/>
      <sheetName val="SPT_vs_PHI58"/>
      <sheetName val="Civil_Boq58"/>
      <sheetName val="PA-_Consutant_58"/>
      <sheetName val="Debits_as_on_12_04_0858"/>
      <sheetName val="Sheet3_(2)58"/>
      <sheetName val="INDORAMA_Group_June_0258"/>
      <sheetName val="PART-I_(2)60"/>
      <sheetName val="final_abstract60"/>
      <sheetName val="Basement_Budget59"/>
      <sheetName val="Rate_analysis59"/>
      <sheetName val="Fee_Rate_Summary59"/>
      <sheetName val="Materials_Cost59"/>
      <sheetName val="10__&amp;_11__Rate_Code_&amp;_BQ59"/>
      <sheetName val="Break_up_Sheet59"/>
      <sheetName val="B_&amp;_C_-_M_-_ccp59"/>
      <sheetName val="RES_STEEL_TO59"/>
      <sheetName val="RMZ_Summary59"/>
      <sheetName val="Materials_59"/>
      <sheetName val="Field_Values59"/>
      <sheetName val="Fin_Sum59"/>
      <sheetName val="Fill_this_out_first___59"/>
      <sheetName val="Site_Dev_BOQ59"/>
      <sheetName val="Staff_Forecast_spread59"/>
      <sheetName val="Structure_Bills_Qty59"/>
      <sheetName val="Builtup_Area59"/>
      <sheetName val="MASTER_RATE_ANALYSIS59"/>
      <sheetName val="Cop_-VGN59"/>
      <sheetName val="Pipe_Supports59"/>
      <sheetName val="MN_T_B_59"/>
      <sheetName val="BOQ_Direct_selling_cost59"/>
      <sheetName val="Stress_Calculation59"/>
      <sheetName val="IO_List59"/>
      <sheetName val="TBAL9697_-group_wise__sdpl59"/>
      <sheetName val="factor_sheet32"/>
      <sheetName val="Exp_59"/>
      <sheetName val="INDIGINEOUS_ITEMS_59"/>
      <sheetName val="E_&amp;_R59"/>
      <sheetName val="Load_Details(B1)59"/>
      <sheetName val="Break_Dw59"/>
      <sheetName val="SPT_vs_PHI59"/>
      <sheetName val="Civil_Boq59"/>
      <sheetName val="PA-_Consutant_59"/>
      <sheetName val="Debits_as_on_12_04_0859"/>
      <sheetName val="Sheet3_(2)59"/>
      <sheetName val="INDORAMA_Group_June_0259"/>
      <sheetName val="PART-I_(2)61"/>
      <sheetName val="final_abstract61"/>
      <sheetName val="Basement_Budget60"/>
      <sheetName val="Rate_analysis60"/>
      <sheetName val="Fee_Rate_Summary60"/>
      <sheetName val="Materials_Cost60"/>
      <sheetName val="10__&amp;_11__Rate_Code_&amp;_BQ60"/>
      <sheetName val="Break_up_Sheet60"/>
      <sheetName val="B_&amp;_C_-_M_-_ccp60"/>
      <sheetName val="RES_STEEL_TO60"/>
      <sheetName val="RMZ_Summary60"/>
      <sheetName val="Materials_60"/>
      <sheetName val="Field_Values60"/>
      <sheetName val="Fin_Sum60"/>
      <sheetName val="Fill_this_out_first___60"/>
      <sheetName val="Site_Dev_BOQ60"/>
      <sheetName val="Staff_Forecast_spread60"/>
      <sheetName val="Structure_Bills_Qty60"/>
      <sheetName val="Builtup_Area60"/>
      <sheetName val="MASTER_RATE_ANALYSIS60"/>
      <sheetName val="Cop_-VGN60"/>
      <sheetName val="Pipe_Supports60"/>
      <sheetName val="MN_T_B_60"/>
      <sheetName val="BOQ_Direct_selling_cost60"/>
      <sheetName val="Stress_Calculation60"/>
      <sheetName val="IO_List60"/>
      <sheetName val="TBAL9697_-group_wise__sdpl60"/>
      <sheetName val="factor_sheet33"/>
      <sheetName val="Exp_60"/>
      <sheetName val="INDIGINEOUS_ITEMS_60"/>
      <sheetName val="E_&amp;_R60"/>
      <sheetName val="Load_Details(B1)60"/>
      <sheetName val="Break_Dw60"/>
      <sheetName val="SPT_vs_PHI60"/>
      <sheetName val="Civil_Boq60"/>
      <sheetName val="PA-_Consutant_60"/>
      <sheetName val="Debits_as_on_12_04_0860"/>
      <sheetName val="Sheet3_(2)60"/>
      <sheetName val="INDORAMA_Group_June_0260"/>
      <sheetName val="s"/>
      <sheetName val="TEXT"/>
      <sheetName val=""/>
      <sheetName val="R.A."/>
      <sheetName val="Recap."/>
      <sheetName val="Abstract"/>
      <sheetName val="Schedule A1"/>
      <sheetName val="Abstract (Buyback)"/>
      <sheetName val="Civil RA"/>
      <sheetName val="Plumbing RA"/>
      <sheetName val="Electrical  RA"/>
      <sheetName val="ELV RA"/>
      <sheetName val="FFTG RA"/>
      <sheetName val="HVAC RA"/>
      <sheetName val="Furniture RA"/>
      <sheetName val="Kichen Equi. RA"/>
      <sheetName val="Vind-BtB"/>
      <sheetName val="Codes"/>
      <sheetName val="Final Basic rate"/>
      <sheetName val="costing sheet"/>
      <sheetName val="Material"/>
      <sheetName val="Lead statement ss5"/>
      <sheetName val="MaterfÙ_x0002_G"/>
      <sheetName val="Mater"/>
      <sheetName val="MRoad data"/>
      <sheetName val="Cover"/>
      <sheetName val="DATA-BASE"/>
      <sheetName val="DATA-ABSTRACT"/>
      <sheetName val="v"/>
      <sheetName val="Plant &amp;  Machinery"/>
      <sheetName val="DI"/>
      <sheetName val="wh_data_R"/>
      <sheetName val="Abs_CD_2"/>
      <sheetName val="road est"/>
      <sheetName val="ECV"/>
      <sheetName val="P&amp;L-BDMC"/>
      <sheetName val="Source Ref."/>
      <sheetName val="Main Sheet"/>
      <sheetName val="Lookup data"/>
      <sheetName val="13. Steel - Ratio"/>
      <sheetName val="Process"/>
      <sheetName val="dummy"/>
      <sheetName val="Assumptions-Input"/>
      <sheetName val="intr_stool_brkup"/>
      <sheetName val="Labels"/>
      <sheetName val="Intro"/>
      <sheetName val="old boq"/>
      <sheetName val="Elect."/>
      <sheetName val="Project Budget Worksheet"/>
      <sheetName val="All Components Report"/>
      <sheetName val="look-dept"/>
      <sheetName val="Names&amp;Cases"/>
      <sheetName val="Bill 1-BOQ-Civil Works"/>
      <sheetName val="Amort"/>
      <sheetName val="AmortRef"/>
      <sheetName val="Quantity"/>
      <sheetName val="Param"/>
      <sheetName val="MA"/>
      <sheetName val="girder"/>
      <sheetName val="Tower-B(Abstract)"/>
      <sheetName val="terrace parapet block work"/>
      <sheetName val="Canopy-2 RCC1"/>
      <sheetName val="Canopy-2 BBS"/>
      <sheetName val="Canopy-1 RCC1"/>
      <sheetName val="Canopy-1 BBS"/>
      <sheetName val="Above terrace columns RCC"/>
      <sheetName val="Above terrace columns BBS"/>
      <sheetName val="Parapet wall RCC"/>
      <sheetName val="Parapet wall BBS"/>
      <sheetName val="OHWT RCC"/>
      <sheetName val="OHWT Slab BBS"/>
      <sheetName val="OHWT Beams  BBS"/>
      <sheetName val="Columns"/>
      <sheetName val="Lifts"/>
      <sheetName val="Staircases"/>
      <sheetName val="Slab &amp; Beam @ 0.00 Lvl"/>
      <sheetName val="Slab &amp; Beam"/>
      <sheetName val="Lintels &amp; Window"/>
      <sheetName val="Column Steel (UBF)"/>
      <sheetName val="Column Steel (SF)"/>
      <sheetName val="Column Steel (1F)"/>
      <sheetName val="Column Steel (2F)"/>
      <sheetName val="Column Steel (3F)"/>
      <sheetName val="Column Steel (4F-6F)"/>
      <sheetName val="Column Steel (7F-9F)"/>
      <sheetName val="Column Steel (10F-12F)"/>
      <sheetName val="Column Steel (13F-15F)"/>
      <sheetName val="Column Steel (16F-17F)"/>
      <sheetName val="Column Steel (18F)"/>
      <sheetName val="Lift Steel (UBF)"/>
      <sheetName val="Lift Steel (SF)"/>
      <sheetName val="Lift Steel (1F-6F)"/>
      <sheetName val="Lift Steel (7F-12F)"/>
      <sheetName val="Lift Steel (13F-18F)"/>
      <sheetName val=" Staircase Steel (UBF)"/>
      <sheetName val=" Staircase Steel (SF)"/>
      <sheetName val=" Staircase Steel (1F-7F)"/>
      <sheetName val=" Staircase Steel (8F-18F)"/>
      <sheetName val="Beams Steel (SF)"/>
      <sheetName val="Slab Steel (SF)"/>
      <sheetName val="Beams Steel (1F)"/>
      <sheetName val="Slab Steel (1F)"/>
      <sheetName val="Beams Steel (2F&amp;3F)"/>
      <sheetName val="Slab Steel (2F&amp;3F)"/>
      <sheetName val="Beams Steel (4F)"/>
      <sheetName val="Slab Steel (4F)"/>
      <sheetName val="Beams Steel (5F-7F)"/>
      <sheetName val="Slab Steel (5F-7F)"/>
      <sheetName val="Beams Steel (8F-15F&amp;18F)"/>
      <sheetName val="Slab Steel (8F-15F&amp;18F)"/>
      <sheetName val="Beams Steel (16F&amp;17F)"/>
      <sheetName val="Slab Steel (16F&amp;17F)"/>
      <sheetName val="Beams Steel (TF)"/>
      <sheetName val="Slab Steel (TF)"/>
      <sheetName val="100mm Block Work"/>
      <sheetName val="150mm BLOCKS"/>
      <sheetName val="200mm BLOCKS"/>
      <sheetName val="Internal Walls Plastering"/>
      <sheetName val="Internal Ceiling Plastering"/>
      <sheetName val="External plaster"/>
      <sheetName val="Tower- A (Abstract)"/>
      <sheetName val="Canopy-2 RCC"/>
      <sheetName val="Canopy -1 RCC"/>
      <sheetName val="Canaopy-2 steel"/>
      <sheetName val="Canopy-1 steel"/>
      <sheetName val="Columns above terrace"/>
      <sheetName val="OHT bottom &amp; walls "/>
      <sheetName val="Slab &amp; Beam at 0.00lvl"/>
      <sheetName val="Slab &amp; Beam at +3.25lvl"/>
      <sheetName val="Parapet slab&amp;beams"/>
      <sheetName val="Column Steel(SF to TF)"/>
      <sheetName val="Above terrace column steel"/>
      <sheetName val="Lift Wall - Stilt Floor"/>
      <sheetName val="Lift Wall 1F-6F"/>
      <sheetName val="Lift Wall 7F-12F"/>
      <sheetName val="Lift Wall 13F-18F"/>
      <sheetName val="Lift wall terrace floor"/>
      <sheetName val="Staircase - UBF"/>
      <sheetName val="Staircase - SF"/>
      <sheetName val="Staircase - 1F-7F"/>
      <sheetName val="Staircase - 8F-18F"/>
      <sheetName val="Beam Steel - SF"/>
      <sheetName val="Slab Steel - SF"/>
      <sheetName val="Beam Steel- 1F"/>
      <sheetName val="Slab Steel - 1F"/>
      <sheetName val="Beams Steel 2F"/>
      <sheetName val="Slab steel 2F"/>
      <sheetName val="Beams Steel 3F"/>
      <sheetName val="Slab steel 3F"/>
      <sheetName val="Beams Steel - 4F"/>
      <sheetName val="Slab steel 4F"/>
      <sheetName val="Beam steel 5F-7F"/>
      <sheetName val="Slab steel 5F-7F"/>
      <sheetName val="Beam steel 8F-15F &amp; 18F"/>
      <sheetName val="Slab steel 8F-15F&amp; 18F"/>
      <sheetName val="Beam steel 16F - 17F"/>
      <sheetName val="Slab steel 16F - 17F"/>
      <sheetName val="Beam steel TF"/>
      <sheetName val="Slab steel TF"/>
      <sheetName val="OHT Slab steel "/>
      <sheetName val="OHT beam steel "/>
      <sheetName val="A- terrace coping BBS"/>
      <sheetName val="Copping beam BBS A terrace"/>
      <sheetName val="150 mm BLOCKS"/>
      <sheetName val="200 mm BLOCKS"/>
      <sheetName val="Site"/>
      <sheetName val="2.1 受電設備棟"/>
      <sheetName val="2.2 受・防火水槽"/>
      <sheetName val="2.3 排水処理設備棟"/>
      <sheetName val="2.4 倉庫棟"/>
      <sheetName val="2.5 守衛棟"/>
      <sheetName val="Data sheet"/>
      <sheetName val="Global Assmptions"/>
      <sheetName val="Step 1"/>
      <sheetName val="RP2"/>
      <sheetName val="PART-I_(2)62"/>
      <sheetName val="final_abstract62"/>
      <sheetName val="Basement_Budget61"/>
      <sheetName val="Rate_analysis61"/>
      <sheetName val="Fee_Rate_Summary61"/>
      <sheetName val="Materials_Cost61"/>
      <sheetName val="10__&amp;_11__Rate_Code_&amp;_BQ61"/>
      <sheetName val="Break_up_Sheet61"/>
      <sheetName val="B_&amp;_C_-_M_-_ccp61"/>
      <sheetName val="RES_STEEL_TO61"/>
      <sheetName val="RMZ_Summary61"/>
      <sheetName val="Materials_61"/>
      <sheetName val="Field_Values61"/>
      <sheetName val="Fin_Sum61"/>
      <sheetName val="Fill_this_out_first___61"/>
      <sheetName val="Site_Dev_BOQ61"/>
      <sheetName val="Staff_Forecast_spread61"/>
      <sheetName val="Structure_Bills_Qty61"/>
      <sheetName val="Builtup_Area61"/>
      <sheetName val="MASTER_RATE_ANALYSIS61"/>
      <sheetName val="Cop_-VGN61"/>
      <sheetName val="Pipe_Supports61"/>
      <sheetName val="MN_T_B_61"/>
      <sheetName val="BOQ_Direct_selling_cost61"/>
      <sheetName val="Stress_Calculation61"/>
      <sheetName val="IO_List61"/>
      <sheetName val="TBAL9697_-group_wise__sdpl61"/>
      <sheetName val="factor_sheet34"/>
      <sheetName val="Exp_61"/>
      <sheetName val="INDIGINEOUS_ITEMS_61"/>
      <sheetName val="E_&amp;_R61"/>
      <sheetName val="Load_Details(B1)61"/>
      <sheetName val="Break_Dw61"/>
      <sheetName val="SPT_vs_PHI61"/>
      <sheetName val="Civil_Boq61"/>
      <sheetName val="PA-_Consutant_61"/>
      <sheetName val="Debits_as_on_12_04_0861"/>
      <sheetName val="Sheet3_(2)61"/>
      <sheetName val="INDORAMA_Group_June_0261"/>
      <sheetName val="SECPROP"/>
      <sheetName val="CABLENOS."/>
      <sheetName val="NRC Rationalisation"/>
      <sheetName val="horizontal"/>
      <sheetName val="BOQ_Distribution"/>
      <sheetName val="ENCL9"/>
      <sheetName val="RCC,Ret__Wall4"/>
      <sheetName val="RA_4_Challan_Summary_4"/>
      <sheetName val="Labour_productivity4"/>
      <sheetName val="labour_coeff4"/>
      <sheetName val="RCC,Ret__Wall3"/>
      <sheetName val="RA_4_Challan_Summary_3"/>
      <sheetName val="Labour_productivity3"/>
      <sheetName val="labour_coeff3"/>
      <sheetName val="RCC,Ret__Wall5"/>
      <sheetName val="RA_4_Challan_Summary_5"/>
      <sheetName val="Labour_productivity5"/>
      <sheetName val="labour_coeff5"/>
      <sheetName val="RCC,Ret__Wall6"/>
      <sheetName val="RA_4_Challan_Summary_6"/>
      <sheetName val="Labour_productivity6"/>
      <sheetName val="labour_coeff6"/>
      <sheetName val="RCC,Ret__Wall12"/>
      <sheetName val="RA_4_Challan_Summary_12"/>
      <sheetName val="Labour_productivity12"/>
      <sheetName val="labour_coeff12"/>
      <sheetName val="RCC,Ret__Wall7"/>
      <sheetName val="RA_4_Challan_Summary_7"/>
      <sheetName val="Labour_productivity7"/>
      <sheetName val="labour_coeff7"/>
      <sheetName val="RCC,Ret__Wall11"/>
      <sheetName val="RA_4_Challan_Summary_11"/>
      <sheetName val="Labour_productivity11"/>
      <sheetName val="labour_coeff11"/>
      <sheetName val="RCC,Ret__Wall8"/>
      <sheetName val="RA_4_Challan_Summary_8"/>
      <sheetName val="Labour_productivity8"/>
      <sheetName val="labour_coeff8"/>
      <sheetName val="RCC,Ret__Wall9"/>
      <sheetName val="RA_4_Challan_Summary_9"/>
      <sheetName val="Labour_productivity9"/>
      <sheetName val="labour_coeff9"/>
      <sheetName val="RCC,Ret__Wall10"/>
      <sheetName val="RA_4_Challan_Summary_10"/>
      <sheetName val="Labour_productivity10"/>
      <sheetName val="labour_coeff10"/>
      <sheetName val="RCC,Ret__Wall13"/>
      <sheetName val="RA_4_Challan_Summary_13"/>
      <sheetName val="Labour_productivity13"/>
      <sheetName val="labour_coeff13"/>
      <sheetName val="RCC,Ret__Wall14"/>
      <sheetName val="RA_4_Challan_Summary_14"/>
      <sheetName val="Labour_productivity14"/>
      <sheetName val="labour_coeff14"/>
      <sheetName val="RCC,Ret__Wall15"/>
      <sheetName val="RA_4_Challan_Summary_15"/>
      <sheetName val="Labour_productivity15"/>
      <sheetName val="labour_coeff15"/>
      <sheetName val="RCC,Ret__Wall16"/>
      <sheetName val="RA_4_Challan_Summary_16"/>
      <sheetName val="Labour_productivity16"/>
      <sheetName val="labour_coeff16"/>
      <sheetName val="RCC,Ret__Wall18"/>
      <sheetName val="RA_4_Challan_Summary_18"/>
      <sheetName val="Labour_productivity18"/>
      <sheetName val="labour_coeff18"/>
      <sheetName val="RCC,Ret__Wall17"/>
      <sheetName val="RA_4_Challan_Summary_17"/>
      <sheetName val="Labour_productivity17"/>
      <sheetName val="labour_coeff17"/>
      <sheetName val="RCC,Ret__Wall20"/>
      <sheetName val="RA_4_Challan_Summary_20"/>
      <sheetName val="Labour_productivity20"/>
      <sheetName val="labour_coeff20"/>
      <sheetName val="RCC,Ret__Wall19"/>
      <sheetName val="RA_4_Challan_Summary_19"/>
      <sheetName val="Labour_productivity19"/>
      <sheetName val="labour_coeff19"/>
      <sheetName val="RCC,Ret__Wall21"/>
      <sheetName val="RA_4_Challan_Summary_21"/>
      <sheetName val="Labour_productivity21"/>
      <sheetName val="labour_coeff21"/>
      <sheetName val="RCC,Ret__Wall22"/>
      <sheetName val="RA_4_Challan_Summary_22"/>
      <sheetName val="Labour_productivity22"/>
      <sheetName val="labour_coeff22"/>
      <sheetName val="RCC,Ret__Wall23"/>
      <sheetName val="RA_4_Challan_Summary_23"/>
      <sheetName val="Labour_productivity23"/>
      <sheetName val="labour_coeff23"/>
      <sheetName val="RCC,Ret__Wall24"/>
      <sheetName val="RA_4_Challan_Summary_24"/>
      <sheetName val="Labour_productivity24"/>
      <sheetName val="labour_coeff24"/>
      <sheetName val="RCC,Ret__Wall26"/>
      <sheetName val="RA_4_Challan_Summary_26"/>
      <sheetName val="Labour_productivity26"/>
      <sheetName val="labour_coeff26"/>
      <sheetName val="RCC,Ret__Wall25"/>
      <sheetName val="RA_4_Challan_Summary_25"/>
      <sheetName val="Labour_productivity25"/>
      <sheetName val="labour_coeff25"/>
      <sheetName val="RCC,Ret__Wall29"/>
      <sheetName val="RA_4_Challan_Summary_29"/>
      <sheetName val="Labour_productivity29"/>
      <sheetName val="labour_coeff29"/>
      <sheetName val="RCC,Ret__Wall28"/>
      <sheetName val="RA_4_Challan_Summary_28"/>
      <sheetName val="Labour_productivity28"/>
      <sheetName val="labour_coeff28"/>
      <sheetName val="RCC,Ret__Wall27"/>
      <sheetName val="RA_4_Challan_Summary_27"/>
      <sheetName val="Labour_productivity27"/>
      <sheetName val="labour_coeff27"/>
      <sheetName val="RCC,Ret__Wall30"/>
      <sheetName val="RA_4_Challan_Summary_30"/>
      <sheetName val="Labour_productivity30"/>
      <sheetName val="labour_coeff30"/>
      <sheetName val="RCC,Ret__Wall31"/>
      <sheetName val="RA_4_Challan_Summary_31"/>
      <sheetName val="Labour_productivity31"/>
      <sheetName val="labour_coeff31"/>
      <sheetName val="RCC,Ret__Wall33"/>
      <sheetName val="RA_4_Challan_Summary_33"/>
      <sheetName val="Labour_productivity33"/>
      <sheetName val="labour_coeff33"/>
      <sheetName val="RCC,Ret__Wall32"/>
      <sheetName val="RA_4_Challan_Summary_32"/>
      <sheetName val="Labour_productivity32"/>
      <sheetName val="labour_coeff32"/>
      <sheetName val="RCC,Ret__Wall36"/>
      <sheetName val="RA_4_Challan_Summary_36"/>
      <sheetName val="Labour_productivity36"/>
      <sheetName val="labour_coeff36"/>
      <sheetName val="RCC,Ret__Wall35"/>
      <sheetName val="RA_4_Challan_Summary_35"/>
      <sheetName val="Labour_productivity35"/>
      <sheetName val="labour_coeff35"/>
      <sheetName val="RCC,Ret__Wall34"/>
      <sheetName val="RA_4_Challan_Summary_34"/>
      <sheetName val="Labour_productivity34"/>
      <sheetName val="labour_coeff34"/>
      <sheetName val="RCC,Ret__Wall37"/>
      <sheetName val="RA_4_Challan_Summary_37"/>
      <sheetName val="Labour_productivity37"/>
      <sheetName val="labour_coeff37"/>
      <sheetName val="Labour Rate "/>
      <sheetName val="Material List "/>
      <sheetName val="DATA SHEET FOR 2014-15"/>
      <sheetName val="wh_data"/>
      <sheetName val="CPHEEO"/>
      <sheetName val="SSR 2014-15 Rates"/>
      <sheetName val="ABST SANITARY"/>
      <sheetName val="ABST CIVIL"/>
      <sheetName val="GROUND FLOOR"/>
      <sheetName val="C-data"/>
      <sheetName val="Bitumen trunk"/>
      <sheetName val="Feeder"/>
      <sheetName val="R99 etc"/>
      <sheetName val="Trunk unpaved"/>
      <sheetName val="maya"/>
      <sheetName val="MAchinery(R1)"/>
      <sheetName val="Works"/>
      <sheetName val="abs_CWrising"/>
      <sheetName val="abs-ph"/>
      <sheetName val="abs_sum&amp;cwr"/>
      <sheetName val="cons_sq_I"/>
      <sheetName val="foot-slab reinft"/>
      <sheetName val="beam-reinft-IIInd_floor1"/>
      <sheetName val="ORDER_BOOKING1"/>
      <sheetName val="CABLE_DATA1"/>
      <sheetName val="Approved_MTD_Proj_#'s1"/>
      <sheetName val="For_Bill-04_PS1"/>
      <sheetName val="BOQ_(2)2"/>
      <sheetName val="Staff_Acco_1"/>
      <sheetName val="Section_Catalogue1"/>
      <sheetName val="M_B-QtyRecn3"/>
      <sheetName val="Mat_Cost3"/>
      <sheetName val="GR_slab-reinft1"/>
      <sheetName val="Bed_Class6"/>
      <sheetName val="PH_data1"/>
      <sheetName val="Details_(3)1"/>
      <sheetName val="Desgn(zone_I)6"/>
      <sheetName val="NLD_-_Assum1"/>
      <sheetName val="schedule_nos1"/>
      <sheetName val="Sqn__Main__Abs1"/>
      <sheetName val="ACAD_Finishes2"/>
      <sheetName val="Site_Details2"/>
      <sheetName val="Site_Area_Statement2"/>
      <sheetName val="M-Book_for_Conc1"/>
      <sheetName val="M-Book_for_FW1"/>
      <sheetName val="INPUT_SHEET1"/>
      <sheetName val="PACK_(B)1"/>
      <sheetName val="BOQ_civil1"/>
      <sheetName val="Staircase_1"/>
      <sheetName val="bill_21"/>
      <sheetName val="Column_Steel-R21"/>
      <sheetName val="std_wt_1"/>
      <sheetName val="d-safe_specs1"/>
      <sheetName val="d-safe_DELUXE1"/>
      <sheetName val="Diawise_steel_abstract1"/>
      <sheetName val="Rising_Main1"/>
      <sheetName val="Material_1"/>
      <sheetName val="Estimate_1"/>
      <sheetName val="QS_Name1"/>
      <sheetName val="CANDY_BOQ1"/>
      <sheetName val="CFForecast_detail1"/>
      <sheetName val="Cash_Flows_&amp;_IRR1"/>
      <sheetName val="train_cash1"/>
      <sheetName val="accom_cash1"/>
      <sheetName val="Common_1"/>
      <sheetName val="Meas_-Hotel_Part1"/>
      <sheetName val="WORK_TABLE1"/>
      <sheetName val="220_11__BS_1"/>
      <sheetName val="Intro_1"/>
      <sheetName val="beam-reinft-machine_rm1"/>
      <sheetName val="Model_(Not_Merged)1"/>
      <sheetName val="Form_61"/>
      <sheetName val="SGS_ACQ1"/>
      <sheetName val="Price_Schedule2"/>
      <sheetName val="Cost_Any_2"/>
      <sheetName val="S_&amp;_A2"/>
      <sheetName val="PointNo_5"/>
      <sheetName val="A_O_R_"/>
      <sheetName val="PRECAST_lightconc-II"/>
      <sheetName val="Tender_Summary1"/>
      <sheetName val="Operating_Statistics1"/>
      <sheetName val="Material_Rate"/>
      <sheetName val="Retaing_wall"/>
      <sheetName val="3__Elemental_Summary"/>
      <sheetName val="RAJU_ASSO"/>
      <sheetName val="Vind_-_BtB1"/>
      <sheetName val="Branch_Power"/>
      <sheetName val="P_Well(_RCC)"/>
      <sheetName val="Detail_In_Door_Stad"/>
      <sheetName val="P-Ins_&amp;_Bonds"/>
      <sheetName val="Occ,_Other_Rev,_Exp,_Dispo"/>
      <sheetName val="소상_&quot;1&quot;"/>
      <sheetName val="Discount_&amp;_Margin"/>
      <sheetName val="PO_Summary"/>
      <sheetName val="BOQ_Summary"/>
      <sheetName val="Sec_1_Loose_Furniture_18%_GST"/>
      <sheetName val="Sec_1_Loose_Furniture_12%_GST"/>
      <sheetName val="Sec_1_Loose_Furniture_5%_GST"/>
      <sheetName val="Sec_2_Cafeteria_Tables"/>
      <sheetName val="Sec_3_Cafeteria_Chairs"/>
      <sheetName val="Sec_4_Work_Floors_-_NT_"/>
      <sheetName val="Sec_5_LGF_Chairs-NT"/>
      <sheetName val="Sec_6_Additional_18%_GST_"/>
      <sheetName val="Sec_6_Additional_12%_GST_"/>
      <sheetName val="Sec_11-NT_set_3"/>
      <sheetName val="DC_Summary"/>
      <sheetName val="M_Sheet"/>
      <sheetName val="RA4_Checklist"/>
      <sheetName val="Labor_abs-NMR"/>
      <sheetName val="2_대외공문"/>
      <sheetName val="NEW-IDs_Fun_&amp;_Group"/>
      <sheetName val="PC_Master_List"/>
      <sheetName val="Project_Details__"/>
      <sheetName val="M_B-QtyRecn4"/>
      <sheetName val="BOQ_(2)3"/>
      <sheetName val="Desgn(zone_I)7"/>
      <sheetName val="beam-reinft-IIInd_floor2"/>
      <sheetName val="For_Bill-04_PS2"/>
      <sheetName val="ORDER_BOOKING2"/>
      <sheetName val="CABLE_DATA2"/>
      <sheetName val="Bed_Class7"/>
      <sheetName val="PH_data2"/>
      <sheetName val="Details_(3)2"/>
      <sheetName val="Sqn__Main__Abs2"/>
      <sheetName val="Mat_Cost4"/>
      <sheetName val="ACAD_Finishes3"/>
      <sheetName val="Site_Details3"/>
      <sheetName val="Site_Area_Statement3"/>
      <sheetName val="M-Book_for_Conc2"/>
      <sheetName val="M-Book_for_FW2"/>
      <sheetName val="Staff_Acco_2"/>
      <sheetName val="Section_Catalogue2"/>
      <sheetName val="Approved_MTD_Proj_#'s2"/>
      <sheetName val="Staircase_2"/>
      <sheetName val="PACK_(B)2"/>
      <sheetName val="GR_slab-reinft2"/>
      <sheetName val="INPUT_SHEET2"/>
      <sheetName val="Estimate_2"/>
      <sheetName val="Material_2"/>
      <sheetName val="NLD_-_Assum2"/>
      <sheetName val="schedule_nos2"/>
      <sheetName val="BOQ_civil2"/>
      <sheetName val="Column_Steel-R22"/>
      <sheetName val="std_wt_2"/>
      <sheetName val="train_cash2"/>
      <sheetName val="accom_cash2"/>
      <sheetName val="bill_22"/>
      <sheetName val="Common_2"/>
      <sheetName val="beam-reinft-machine_rm2"/>
      <sheetName val="QS_Name2"/>
      <sheetName val="CANDY_BOQ2"/>
      <sheetName val="Meas_-Hotel_Part2"/>
      <sheetName val="WORK_TABLE2"/>
      <sheetName val="220_11__BS_2"/>
      <sheetName val="Intro_2"/>
      <sheetName val="intr_stool_brkup1"/>
      <sheetName val="d-safe_specs2"/>
      <sheetName val="d-safe_DELUXE2"/>
      <sheetName val="Diawise_steel_abstract2"/>
      <sheetName val="Rising_Main2"/>
      <sheetName val="CFForecast_detail2"/>
      <sheetName val="Cash_Flows_&amp;_IRR2"/>
      <sheetName val="Model_(Not_Merged)2"/>
      <sheetName val="Tender_Summary2"/>
      <sheetName val="Operating_Statistics2"/>
      <sheetName val="Material_Rate1"/>
      <sheetName val="Retaing_wall1"/>
      <sheetName val="except_wiring1"/>
      <sheetName val="CPIPE_11"/>
      <sheetName val="3__Elemental_Summary1"/>
      <sheetName val="Vind_-_BtB2"/>
      <sheetName val="SGS_ACQ2"/>
      <sheetName val="Form_62"/>
      <sheetName val="Price_Schedule3"/>
      <sheetName val="Cost_Any_3"/>
      <sheetName val="S_&amp;_A3"/>
      <sheetName val="PointNo_51"/>
      <sheetName val="소상_&quot;1&quot;1"/>
      <sheetName val="Discount_&amp;_Margin1"/>
      <sheetName val="A_O_R_1"/>
      <sheetName val="PRECAST_lightconc-II1"/>
      <sheetName val="P-Ins_&amp;_Bonds1"/>
      <sheetName val="Branch_Power1"/>
      <sheetName val="P_Well(_RCC)1"/>
      <sheetName val="Detail_In_Door_Stad1"/>
      <sheetName val="BOQ_Distribution1"/>
      <sheetName val="RAJU_ASSO1"/>
      <sheetName val="Occ,_Other_Rev,_Exp,_Dispo1"/>
      <sheetName val="PO_Summary1"/>
      <sheetName val="BOQ_Summary1"/>
      <sheetName val="Sec_1_Loose_Furniture_18%_GST1"/>
      <sheetName val="Sec_1_Loose_Furniture_12%_GST1"/>
      <sheetName val="Sec_1_Loose_Furniture_5%_GST1"/>
      <sheetName val="Sec_2_Cafeteria_Tables1"/>
      <sheetName val="Sec_3_Cafeteria_Chairs1"/>
      <sheetName val="Sec_4_Work_Floors_-_NT_1"/>
      <sheetName val="Sec_5_LGF_Chairs-NT1"/>
      <sheetName val="Sec_6_Additional_18%_GST_1"/>
      <sheetName val="Sec_6_Additional_12%_GST_1"/>
      <sheetName val="Sec_11-NT_set_31"/>
      <sheetName val="DC_Summary1"/>
      <sheetName val="M_Sheet1"/>
      <sheetName val="RA4_Checklist1"/>
      <sheetName val="M_S_1"/>
      <sheetName val="Labor_abs-NMR1"/>
      <sheetName val="2_대외공문1"/>
      <sheetName val="NEW-IDs_Fun_&amp;_Group1"/>
      <sheetName val="PC_Master_List1"/>
      <sheetName val="Project_Details__1"/>
      <sheetName val="Footings"/>
      <sheetName val="9. Package split - Cost "/>
      <sheetName val="M- Rate"/>
      <sheetName val="RA 1"/>
      <sheetName val="Master Info"/>
      <sheetName val="SUMM"/>
      <sheetName val="PART-I_(2)63"/>
      <sheetName val="final_abstract63"/>
      <sheetName val="Basement_Budget62"/>
      <sheetName val="Rate_analysis62"/>
      <sheetName val="Break_up_Sheet62"/>
      <sheetName val="TBAL9697_-group_wise__sdpl62"/>
      <sheetName val="B_&amp;_C_-_M_-_ccp62"/>
      <sheetName val="Fee_Rate_Summary62"/>
      <sheetName val="Materials_Cost62"/>
      <sheetName val="RES_STEEL_TO62"/>
      <sheetName val="10__&amp;_11__Rate_Code_&amp;_BQ62"/>
      <sheetName val="RMZ_Summary62"/>
      <sheetName val="Site_Dev_BOQ62"/>
      <sheetName val="Staff_Forecast_spread62"/>
      <sheetName val="Fin_Sum62"/>
      <sheetName val="Fill_this_out_first___62"/>
      <sheetName val="Field_Values62"/>
      <sheetName val="Break_Dw62"/>
      <sheetName val="Structure_Bills_Qty62"/>
      <sheetName val="Builtup_Area62"/>
      <sheetName val="MASTER_RATE_ANALYSIS62"/>
      <sheetName val="Cop_-VGN62"/>
      <sheetName val="Pipe_Supports62"/>
      <sheetName val="Materials_62"/>
      <sheetName val="BOQ_Direct_selling_cost62"/>
      <sheetName val="Stress_Calculation62"/>
      <sheetName val="IO_List62"/>
      <sheetName val="MN_T_B_62"/>
      <sheetName val="RCC,Ret__Wall38"/>
      <sheetName val="RA_4_Challan_Summary_38"/>
      <sheetName val="Labour_productivity38"/>
      <sheetName val="labour_coeff38"/>
      <sheetName val="banilad"/>
      <sheetName val="Mactan"/>
      <sheetName val="Mandaue"/>
      <sheetName val="August Construction Planning  "/>
      <sheetName val="Internal Planning"/>
      <sheetName val="July'2019 Weekly"/>
      <sheetName val="FITZ MORT 94"/>
      <sheetName val="2000 MOR"/>
      <sheetName val="LIST OF MAKES"/>
      <sheetName val="April Analysts"/>
      <sheetName val="Basic Rate"/>
      <sheetName val="Consumer Fraud"/>
      <sheetName val="Avoidance "/>
      <sheetName val="Cons Recov Rates"/>
      <sheetName val="Consumer Supps"/>
      <sheetName val="Variance"/>
      <sheetName val="Consumer Outbound"/>
      <sheetName val="FY Loss Frcst"/>
      <sheetName val="Exempt"/>
      <sheetName val="EqpPerfJun08"/>
      <sheetName val="footing for SP"/>
      <sheetName val="Lead_statement"/>
      <sheetName val="Data_F8_BTR"/>
      <sheetName val="Labour_&amp;_Plant"/>
      <sheetName val="Bld_SSR"/>
      <sheetName val="SSR_-Sani_"/>
      <sheetName val="Elec_SSR"/>
      <sheetName val="PH-_SSR"/>
      <sheetName val="R_&amp;_B_SSR"/>
      <sheetName val="RCC_Pipes"/>
      <sheetName val="DI-Pipes_&amp;_Spe"/>
      <sheetName val="CI_Spe"/>
      <sheetName val="Bolts&amp;_rings"/>
      <sheetName val="Dist_Lines-150-old"/>
      <sheetName val="GA-GVMC_-NW(Com)_"/>
      <sheetName val="GA-GVMC_-NW_"/>
      <sheetName val="Dist_Lines-100"/>
      <sheetName val="Dist-Lines_-500"/>
      <sheetName val="Dist_Lines-150"/>
      <sheetName val="GA-GVMC_-NW__(2)"/>
      <sheetName val="GA-GVMC_-NW__"/>
      <sheetName val="Dist-Lines_B-1_"/>
      <sheetName val="Dist-Lines-Final_checked"/>
      <sheetName val="Pumping_mains-"/>
      <sheetName val="Feeder_main-old"/>
      <sheetName val="Dist-Lines_-B-2"/>
      <sheetName val="Dist-Lines_-B-3"/>
      <sheetName val="Dist-Lines_B-4"/>
      <sheetName val="Dist-Lines_B-5"/>
      <sheetName val="Dist-Lines_-B-6"/>
      <sheetName val="Dist-Lines_-B-7"/>
      <sheetName val="Dist-Lines_-B-8"/>
      <sheetName val="Dist-Lines_-B-9"/>
      <sheetName val="Dist-Lines_-B-10"/>
      <sheetName val="Dist-Lines_-B-11"/>
      <sheetName val="Dist-Lines_-B-12"/>
      <sheetName val="Dist-Lines_-B-13"/>
      <sheetName val="Dist-Lines_-B-14"/>
      <sheetName val="Dist-Lines_-B-15"/>
      <sheetName val="Dist-Lines_-B-16"/>
      <sheetName val="Feeder_mains-_1"/>
      <sheetName val="Feeder_mains-_2"/>
      <sheetName val="Feeder_mains-_(1)"/>
      <sheetName val="Feeder_mains-up_to_800"/>
      <sheetName val="Pumping_Main-800mm"/>
      <sheetName val="ELSR-600_KL-Z-2"/>
      <sheetName val="750_KL_GLSR-Z-3"/>
      <sheetName val="ELSR-750_KL-Z-3"/>
      <sheetName val="ELSR-500_KL-Z-4"/>
      <sheetName val="500_KL_GLSR-Z-4"/>
      <sheetName val="ELSR-1850_KL-Z-8"/>
      <sheetName val="1850_KL_GLSR-Z-8"/>
      <sheetName val="800_KL_GLSR-Z-11"/>
      <sheetName val="900_KL_GLSR-Z-12"/>
      <sheetName val="ELSR-2500_KL-Z-13"/>
      <sheetName val="ELSR-2400_KL-Z-14"/>
      <sheetName val="ELSR-1200_KL-Z-15"/>
      <sheetName val="ELSR-2000_KL-Z-16"/>
      <sheetName val="Pumping_Main-500mm-(2)"/>
      <sheetName val="Pumping_Main-450mm-(3)"/>
      <sheetName val="Pumping_Main-(4)"/>
      <sheetName val="350_KL_GLSR"/>
      <sheetName val="1000_KL_Sump-"/>
      <sheetName val="1000_KL_MBR"/>
      <sheetName val="MBR-1000_KL"/>
      <sheetName val="Pump_room-12x8"/>
      <sheetName val="civ data"/>
      <sheetName val="m"/>
      <sheetName val="Newabstract"/>
      <sheetName val="CivilOld"/>
      <sheetName val="hdpe_basic"/>
      <sheetName val="Mth-Vana"/>
      <sheetName val="Demand"/>
      <sheetName val="Occ"/>
      <sheetName val="LOCAL RATES"/>
      <sheetName val="Cal"/>
      <sheetName val="Abs"/>
      <sheetName val="well"/>
      <sheetName val="Sum1"/>
      <sheetName val="98Price"/>
      <sheetName val="Civil Works"/>
      <sheetName val="August TB"/>
      <sheetName val="Consolidated"/>
      <sheetName val="pt-cw"/>
      <sheetName val="AD ST"/>
      <sheetName val="Inc.St.-Link"/>
      <sheetName val="공장별판관비배부"/>
      <sheetName val="UNIT2"/>
      <sheetName val="CFS3"/>
      <sheetName val="Core Data"/>
      <sheetName val="iD"/>
      <sheetName val="triggers"/>
      <sheetName val="Vol"/>
      <sheetName val="KWM"/>
      <sheetName val="simulations"/>
      <sheetName val="Wag&amp;Sal"/>
      <sheetName val="SALE"/>
      <sheetName val="FLCB List"/>
      <sheetName val="Fx DATA"/>
      <sheetName val="Bridge Data 2005-06"/>
      <sheetName val="PROCTOR"/>
      <sheetName val="Measurment"/>
      <sheetName val="INDEX"/>
      <sheetName val="AREAS"/>
      <sheetName val="ridgewood"/>
      <sheetName val="report"/>
      <sheetName val="Exp_62"/>
      <sheetName val="INDIGINEOUS_ITEMS_62"/>
      <sheetName val="E_&amp;_R62"/>
      <sheetName val="Load_Details(B1)62"/>
      <sheetName val="INDORAMA_Group_June_0262"/>
      <sheetName val="SPT_vs_PHI62"/>
      <sheetName val="Civil_Boq62"/>
      <sheetName val="Debits_as_on_12_04_0862"/>
      <sheetName val="PA-_Consutant_62"/>
      <sheetName val="Sheet3_(2)62"/>
      <sheetName val="_Block_work"/>
      <sheetName val="Flooring_&amp;_Road"/>
      <sheetName val="BOM_"/>
      <sheetName val="SUBMITED_bISS"/>
      <sheetName val="TOTAL_SUMMARY"/>
      <sheetName val="DOOR-WINDOW_SCHEDULE"/>
      <sheetName val="BLOCK_WORK-GRD_FLR"/>
      <sheetName val="Japan_Reco"/>
      <sheetName val="Abs_PMRL"/>
      <sheetName val="Cleaning_&amp;_Grubbing"/>
      <sheetName val="220Kv_(2)"/>
      <sheetName val="Source_Ref_"/>
      <sheetName val="Name_List"/>
      <sheetName val="water_prop_"/>
      <sheetName val="Price_Comparison"/>
      <sheetName val="BLOCK-A_(MEA_SHEET)"/>
      <sheetName val="4_Annex_1_Basic_rate"/>
      <sheetName val="Door_Qty"/>
      <sheetName val="Win_Qty"/>
      <sheetName val="Mar_Roster"/>
      <sheetName val="costing_sheet"/>
      <sheetName val="R_A_"/>
      <sheetName val="India_F&amp;S_Template"/>
      <sheetName val="DETAILED__BOQ"/>
      <sheetName val="BASIS_-DEC_08"/>
      <sheetName val="_"/>
      <sheetName val="Capital_Structure"/>
      <sheetName val="Recap_"/>
      <sheetName val="Schedule_A1"/>
      <sheetName val="Abstract_(Buyback)"/>
      <sheetName val="Civil_RA"/>
      <sheetName val="Plumbing_RA"/>
      <sheetName val="Electrical__RA"/>
      <sheetName val="ELV_RA"/>
      <sheetName val="FFTG_RA"/>
      <sheetName val="HVAC_RA"/>
      <sheetName val="Furniture_RA"/>
      <sheetName val="Kichen_Equi__RA"/>
      <sheetName val="Project_Budget_Worksheet"/>
      <sheetName val="All_Components_Report"/>
      <sheetName val="UNP-NCW_"/>
      <sheetName val="BUD_07-08"/>
      <sheetName val="Final_Basic_rate"/>
      <sheetName val="Elect_"/>
      <sheetName val="old_boq"/>
      <sheetName val="CABLENOS_"/>
      <sheetName val="Works_-_Quote_Sheet"/>
      <sheetName val="Bill_1-BOQ-Civil_Works"/>
      <sheetName val="Labour_Rate_"/>
      <sheetName val="Material_List_"/>
      <sheetName val="Sheet1_(2)"/>
      <sheetName val="site_fab&amp;ernstr"/>
      <sheetName val="2_1_受電設備棟"/>
      <sheetName val="2_2_受・防火水槽"/>
      <sheetName val="2_3_排水処理設備棟"/>
      <sheetName val="2_4_倉庫棟"/>
      <sheetName val="2_5_守衛棟"/>
      <sheetName val="Step_1"/>
      <sheetName val="Partitions"/>
      <sheetName val="inter"/>
      <sheetName val="LABOUR SALARY "/>
      <sheetName val="Brickwork "/>
      <sheetName val="Finishing items"/>
      <sheetName val="Global_Assmptions"/>
      <sheetName val="Data_sheet"/>
      <sheetName val="NRC_Rationalisation"/>
      <sheetName val="foot-slab_reinft"/>
      <sheetName val="PRECAST lightconc_II"/>
      <sheetName val="Roof  PT beams "/>
      <sheetName val="Client Addressess "/>
      <sheetName val="Basic Rates"/>
      <sheetName val="SP Break Up"/>
      <sheetName val="TBEAM"/>
      <sheetName val="MH(on site)"/>
      <sheetName val="Sales &amp; Prod"/>
      <sheetName val="11-hsd"/>
      <sheetName val="13-septic"/>
      <sheetName val="7-ug"/>
      <sheetName val="2-utility"/>
      <sheetName val="RA_1"/>
      <sheetName val="boq lt"/>
      <sheetName val="Indices"/>
      <sheetName val="BFS"/>
      <sheetName val="SPEC SHEET"/>
      <sheetName val="REFERANCE DATA"/>
      <sheetName val="DOOR WINDOW"/>
      <sheetName val="TORRENT CEMENT"/>
      <sheetName val="02.10.06"/>
      <sheetName val="ORDER-3"/>
      <sheetName val="DATA INPU KN (1)"/>
      <sheetName val="DATA INPU KN"/>
      <sheetName val="beam-reinft"/>
      <sheetName val="GM &amp; TA"/>
      <sheetName val="Cash Flow Working"/>
      <sheetName val="ABS_Sec C"/>
      <sheetName val="PART-I_(2)64"/>
      <sheetName val="final_abstract64"/>
      <sheetName val="Basement_Budget63"/>
      <sheetName val="Fee_Rate_Summary63"/>
      <sheetName val="Rate_analysis63"/>
      <sheetName val="Materials_Cost63"/>
      <sheetName val="10__&amp;_11__Rate_Code_&amp;_BQ63"/>
      <sheetName val="RES_STEEL_TO63"/>
      <sheetName val="Break_up_Sheet63"/>
      <sheetName val="B_&amp;_C_-_M_-_ccp63"/>
      <sheetName val="RMZ_Summary63"/>
      <sheetName val="Fill_this_out_first___63"/>
      <sheetName val="TBAL9697_-group_wise__sdpl63"/>
      <sheetName val="Fin_Sum63"/>
      <sheetName val="Site_Dev_BOQ63"/>
      <sheetName val="Staff_Forecast_spread63"/>
      <sheetName val="Field_Values63"/>
      <sheetName val="Structure_Bills_Qty63"/>
      <sheetName val="Builtup_Area63"/>
      <sheetName val="MASTER_RATE_ANALYSIS63"/>
      <sheetName val="Cop_-VGN63"/>
      <sheetName val="IO_List63"/>
      <sheetName val="BOQ_Direct_selling_cost63"/>
      <sheetName val="Stress_Calculation63"/>
      <sheetName val="Pipe_Supports63"/>
      <sheetName val="Materials_63"/>
      <sheetName val="MN_T_B_63"/>
      <sheetName val="ORDER_BOOKING3"/>
      <sheetName val="Break_Dw63"/>
      <sheetName val="For_Bill-04_PS3"/>
      <sheetName val="RCC,Ret__Wall39"/>
      <sheetName val="RA_4_Challan_Summary_39"/>
      <sheetName val="Labour_productivity39"/>
      <sheetName val="labour_coeff39"/>
      <sheetName val="BOQ_(2)4"/>
      <sheetName val="beam-reinft-IIInd_floor3"/>
      <sheetName val="Bed_Class8"/>
      <sheetName val="PH_data3"/>
      <sheetName val="Details_(3)3"/>
      <sheetName val="Desgn(zone_I)8"/>
      <sheetName val="M_B-QtyRecn5"/>
      <sheetName val="Sqn__Main__Abs3"/>
      <sheetName val="Staff_Acco_3"/>
      <sheetName val="Section_Catalogue3"/>
      <sheetName val="Approved_MTD_Proj_#'s3"/>
      <sheetName val="ACAD_Finishes4"/>
      <sheetName val="Site_Details4"/>
      <sheetName val="Site_Area_Statement4"/>
      <sheetName val="CABLE_DATA3"/>
      <sheetName val="Mat_Cost5"/>
      <sheetName val="GR_slab-reinft3"/>
      <sheetName val="BOQ_civil3"/>
      <sheetName val="NLD_-_Assum3"/>
      <sheetName val="schedule_nos3"/>
      <sheetName val="std_wt_3"/>
      <sheetName val="Column_Steel-R23"/>
      <sheetName val="Staircase_3"/>
      <sheetName val="INPUT_SHEET3"/>
      <sheetName val="M-Book_for_Conc3"/>
      <sheetName val="M-Book_for_FW3"/>
      <sheetName val="Cash_Flows_&amp;_IRR3"/>
      <sheetName val="d-safe_specs3"/>
      <sheetName val="d-safe_DELUXE3"/>
      <sheetName val="Diawise_steel_abstract3"/>
      <sheetName val="Rising_Main3"/>
      <sheetName val="PACK_(B)3"/>
      <sheetName val="Material_3"/>
      <sheetName val="bill_23"/>
      <sheetName val="Estimate_3"/>
      <sheetName val="QS_Name3"/>
      <sheetName val="CANDY_BOQ3"/>
      <sheetName val="CFForecast_detail3"/>
      <sheetName val="Model_(Not_Merged)3"/>
      <sheetName val="Tender_Summary3"/>
      <sheetName val="train_cash3"/>
      <sheetName val="accom_cash3"/>
      <sheetName val="Common_3"/>
      <sheetName val="Meas_-Hotel_Part3"/>
      <sheetName val="3__Elemental_Summary2"/>
      <sheetName val="Material_Rate2"/>
      <sheetName val="Retaing_wall2"/>
      <sheetName val="WORK_TABLE3"/>
      <sheetName val="220_11__BS_3"/>
      <sheetName val="Intro_3"/>
      <sheetName val="Operating_Statistics3"/>
      <sheetName val="except_wiring2"/>
      <sheetName val="CPIPE_12"/>
      <sheetName val="beam-reinft-machine_rm3"/>
      <sheetName val="intr_stool_brkup2"/>
      <sheetName val="Occ,_Other_Rev,_Exp,_Dispo2"/>
      <sheetName val="Vind_-_BtB3"/>
      <sheetName val="SGS_ACQ3"/>
      <sheetName val="Form_63"/>
      <sheetName val="Price_Schedule4"/>
      <sheetName val="Cost_Any_4"/>
      <sheetName val="S_&amp;_A4"/>
      <sheetName val="PointNo_52"/>
      <sheetName val="BOQ_Distribution2"/>
      <sheetName val="A_O_R_2"/>
      <sheetName val="PRECAST_lightconc-II2"/>
      <sheetName val="Detail_In_Door_Stad2"/>
      <sheetName val="P_Well(_RCC)2"/>
      <sheetName val="PO_Summary2"/>
      <sheetName val="BOQ_Summary2"/>
      <sheetName val="Sec_1_Loose_Furniture_18%_GST2"/>
      <sheetName val="Sec_1_Loose_Furniture_12%_GST2"/>
      <sheetName val="Sec_1_Loose_Furniture_5%_GST2"/>
      <sheetName val="Sec_2_Cafeteria_Tables2"/>
      <sheetName val="Sec_3_Cafeteria_Chairs2"/>
      <sheetName val="Sec_4_Work_Floors_-_NT_2"/>
      <sheetName val="Sec_5_LGF_Chairs-NT2"/>
      <sheetName val="Sec_6_Additional_18%_GST_2"/>
      <sheetName val="Sec_6_Additional_12%_GST_2"/>
      <sheetName val="Sec_11-NT_set_32"/>
      <sheetName val="DC_Summary2"/>
      <sheetName val="M_Sheet2"/>
      <sheetName val="RA4_Checklist2"/>
      <sheetName val="PC_Master_List2"/>
      <sheetName val="Project_Details__2"/>
      <sheetName val="Labor_abs-NMR2"/>
      <sheetName val="소상_&quot;1&quot;2"/>
      <sheetName val="M_S_2"/>
      <sheetName val="Discount_&amp;_Margin2"/>
      <sheetName val="Branch_Power2"/>
      <sheetName val="RAJU_ASSO2"/>
      <sheetName val="P-Ins_&amp;_Bonds2"/>
      <sheetName val="2_대외공문2"/>
      <sheetName val="NEW-IDs_Fun_&amp;_Group2"/>
      <sheetName val="LABOUR_SALARY_"/>
      <sheetName val="Brickwork_"/>
      <sheetName val="Finishing_items"/>
      <sheetName val="M-_Rate"/>
      <sheetName val="August_Construction_Planning__"/>
      <sheetName val="Internal_Planning"/>
      <sheetName val="July'2019_Weekly"/>
      <sheetName val="9__Package_split_-_Cost_"/>
      <sheetName val="Estimate_10_00_Lakhs_"/>
      <sheetName val="abs_road"/>
      <sheetName val="Road_data"/>
      <sheetName val="terrace_parapet_block_work"/>
      <sheetName val="Canopy-2_RCC1"/>
      <sheetName val="Canopy-2_BBS"/>
      <sheetName val="Canopy-1_RCC1"/>
      <sheetName val="Canopy-1_BBS"/>
      <sheetName val="Above_terrace_columns_RCC"/>
      <sheetName val="Above_terrace_columns_BBS"/>
      <sheetName val="Parapet_wall_RCC"/>
      <sheetName val="Parapet_wall_BBS"/>
      <sheetName val="OHWT_RCC"/>
      <sheetName val="OHWT_Slab_BBS"/>
      <sheetName val="OHWT_Beams__BBS"/>
      <sheetName val="Slab_&amp;_Beam_@_0_00_Lvl"/>
      <sheetName val="Slab_&amp;_Beam"/>
      <sheetName val="Lintels_&amp;_Window"/>
      <sheetName val="Column_Steel_(UBF)"/>
      <sheetName val="Column_Steel_(SF)"/>
      <sheetName val="Column_Steel_(1F)"/>
      <sheetName val="Column_Steel_(2F)"/>
      <sheetName val="Column_Steel_(3F)"/>
      <sheetName val="Column_Steel_(4F-6F)"/>
      <sheetName val="Column_Steel_(7F-9F)"/>
      <sheetName val="Column_Steel_(10F-12F)"/>
      <sheetName val="Column_Steel_(13F-15F)"/>
      <sheetName val="Column_Steel_(16F-17F)"/>
      <sheetName val="Column_Steel_(18F)"/>
      <sheetName val="Lift_Steel_(UBF)"/>
      <sheetName val="Lift_Steel_(SF)"/>
      <sheetName val="Lift_Steel_(1F-6F)"/>
      <sheetName val="Lift_Steel_(7F-12F)"/>
      <sheetName val="Lift_Steel_(13F-18F)"/>
      <sheetName val="_Staircase_Steel_(UBF)"/>
      <sheetName val="_Staircase_Steel_(SF)"/>
      <sheetName val="_Staircase_Steel_(1F-7F)"/>
      <sheetName val="_Staircase_Steel_(8F-18F)"/>
      <sheetName val="Beams_Steel_(SF)"/>
      <sheetName val="Slab_Steel_(SF)"/>
      <sheetName val="Beams_Steel_(1F)"/>
      <sheetName val="Slab_Steel_(1F)"/>
      <sheetName val="Beams_Steel_(2F&amp;3F)"/>
      <sheetName val="Slab_Steel_(2F&amp;3F)"/>
      <sheetName val="Beams_Steel_(4F)"/>
      <sheetName val="Slab_Steel_(4F)"/>
      <sheetName val="Beams_Steel_(5F-7F)"/>
      <sheetName val="Slab_Steel_(5F-7F)"/>
      <sheetName val="Beams_Steel_(8F-15F&amp;18F)"/>
      <sheetName val="Slab_Steel_(8F-15F&amp;18F)"/>
      <sheetName val="Beams_Steel_(16F&amp;17F)"/>
      <sheetName val="Slab_Steel_(16F&amp;17F)"/>
      <sheetName val="Beams_Steel_(TF)"/>
      <sheetName val="Slab_Steel_(TF)"/>
      <sheetName val="100mm_Block_Work"/>
      <sheetName val="150mm_BLOCKS"/>
      <sheetName val="200mm_BLOCKS"/>
      <sheetName val="Internal_Walls_Plastering"/>
      <sheetName val="Internal_Ceiling_Plastering"/>
      <sheetName val="External_plaster"/>
      <sheetName val="Tower-_A_(Abstract)"/>
      <sheetName val="Canopy-2_RCC"/>
      <sheetName val="Canopy_-1_RCC"/>
      <sheetName val="Canaopy-2_steel"/>
      <sheetName val="Canopy-1_steel"/>
      <sheetName val="Columns_above_terrace"/>
      <sheetName val="OHT_bottom_&amp;_walls_"/>
      <sheetName val="Slab_&amp;_Beam_at_0_00lvl"/>
      <sheetName val="Slab_&amp;_Beam_at_+3_25lvl"/>
      <sheetName val="Parapet_slab&amp;beams"/>
      <sheetName val="Column_Steel(SF_to_TF)"/>
      <sheetName val="Above_terrace_column_steel"/>
      <sheetName val="Lift_Wall_-_Stilt_Floor"/>
      <sheetName val="Lift_Wall_1F-6F"/>
      <sheetName val="Lift_Wall_7F-12F"/>
      <sheetName val="Lift_Wall_13F-18F"/>
      <sheetName val="Lift_wall_terrace_floor"/>
      <sheetName val="Staircase_-_UBF"/>
      <sheetName val="Staircase_-_SF"/>
      <sheetName val="Staircase_-_1F-7F"/>
      <sheetName val="Staircase_-_8F-18F"/>
      <sheetName val="Beam_Steel_-_SF"/>
      <sheetName val="Slab_Steel_-_SF"/>
      <sheetName val="Beam_Steel-_1F"/>
      <sheetName val="Slab_Steel_-_1F"/>
      <sheetName val="Beams_Steel_2F"/>
      <sheetName val="Slab_steel_2F"/>
      <sheetName val="Beams_Steel_3F"/>
      <sheetName val="Slab_steel_3F"/>
      <sheetName val="Beams_Steel_-_4F"/>
      <sheetName val="Slab_steel_4F"/>
      <sheetName val="Beam_steel_5F-7F"/>
      <sheetName val="Slab_steel_5F-7F"/>
      <sheetName val="Beam_steel_8F-15F_&amp;_18F"/>
      <sheetName val="Slab_steel_8F-15F&amp;_18F"/>
      <sheetName val="Beam_steel_16F_-_17F"/>
      <sheetName val="Slab_steel_16F_-_17F"/>
      <sheetName val="Beam_steel_TF"/>
      <sheetName val="Slab_steel_TF"/>
      <sheetName val="OHT_Slab_steel_"/>
      <sheetName val="OHT_beam_steel_"/>
      <sheetName val="A-_terrace_coping_BBS"/>
      <sheetName val="Copping_beam_BBS_A_terrace"/>
      <sheetName val="150_mm_BLOCKS"/>
      <sheetName val="200_mm_BLOCKS"/>
      <sheetName val="B_F_Meters"/>
      <sheetName val="Pump_sets"/>
      <sheetName val="Pump_sets_(2)"/>
      <sheetName val="Gen_sets"/>
      <sheetName val="PR_Valves"/>
      <sheetName val="W_man_Qrt-"/>
      <sheetName val="O_&amp;M"/>
      <sheetName val="Generator_Room-1"/>
      <sheetName val="200_KL_GLSR-6_(2)"/>
      <sheetName val="500_KL_Sump-(1)"/>
      <sheetName val="250_KL_Sump-(3)"/>
      <sheetName val="Office_-_MBR"/>
      <sheetName val="HSC_(2)"/>
      <sheetName val="Gen_sets_(2)"/>
      <sheetName val="DI_pipes"/>
      <sheetName val="Wt_of_DI_Spe_"/>
      <sheetName val="HDPE_pipes"/>
      <sheetName val="RCC_SS"/>
      <sheetName val="CI_Spe_"/>
      <sheetName val="data-ELSR_"/>
      <sheetName val="data-Water_Supply"/>
      <sheetName val="Sump_&amp;_ST"/>
      <sheetName val="Bld_Stnd,Data"/>
      <sheetName val="Bld_up_to_3F"/>
      <sheetName val="CC_road"/>
      <sheetName val="Dist_Lines"/>
      <sheetName val="Feeder_mains-2"/>
      <sheetName val="Gravity_Main-900mm"/>
      <sheetName val="550_KL_Sump-1"/>
      <sheetName val="550_KL_Sump-2"/>
      <sheetName val="ELSR-1200_KL"/>
      <sheetName val="650_KL_GLSR_(2)"/>
      <sheetName val="850_KL_GLSR_"/>
      <sheetName val="500_KL_sump"/>
      <sheetName val="200_KL-_ELSR_Yelluru"/>
      <sheetName val="Dist-Zone-below_50000"/>
      <sheetName val="Data_-O&amp;M"/>
      <sheetName val="Pumping_main-350mm"/>
      <sheetName val="Inf_Well"/>
      <sheetName val="Approah_road_to_MBR"/>
      <sheetName val="Approach_Roads-Source"/>
      <sheetName val="400mm-P_Main"/>
      <sheetName val="13_Mld-WTP"/>
      <sheetName val="data-Intake_well"/>
      <sheetName val="Model_GLSR-"/>
      <sheetName val="Feeder_main-1_(2)"/>
      <sheetName val="Dist_&amp;_Feeder_mains__(2)"/>
      <sheetName val="BFlow_meters"/>
      <sheetName val="O_Nd_M"/>
      <sheetName val="Pump_room-6_59x6_00m"/>
      <sheetName val="GA-GVMC_-Raiwada-BWSC"/>
      <sheetName val="BWSC-Pumping_Main-1200mm"/>
      <sheetName val="GA-GVMC_-Raiwada"/>
      <sheetName val="MS-Pumping_Main-1300mm"/>
      <sheetName val="Thurst-F_mains"/>
      <sheetName val="Thrust-P_mains"/>
      <sheetName val="CI_weights"/>
      <sheetName val="Proforma_-II_"/>
      <sheetName val="LIST_OF_MAKES"/>
      <sheetName val="April_Analysts"/>
      <sheetName val="Basic_Rate"/>
      <sheetName val="Consumer_Fraud"/>
      <sheetName val="Avoidance_"/>
      <sheetName val="Cons_Recov_Rates"/>
      <sheetName val="Consumer_Supps"/>
      <sheetName val="Consumer_Outbound"/>
      <sheetName val="FY_Loss_Frcst"/>
      <sheetName val="FITZ_MORT_94"/>
      <sheetName val="footing_for_SP"/>
      <sheetName val="Master_Info"/>
      <sheetName val="AD_ST"/>
      <sheetName val="Riser-1"/>
      <sheetName val="Schedule v1"/>
      <sheetName val="Keyword"/>
      <sheetName val="Auswahl"/>
      <sheetName val="factor_sheet35"/>
      <sheetName val="factor_sheet36"/>
      <sheetName val="Exp_63"/>
      <sheetName val="INDIGINEOUS_ITEMS_63"/>
      <sheetName val="E_&amp;_R63"/>
      <sheetName val="Load_Details(B1)63"/>
      <sheetName val="SPT_vs_PHI63"/>
      <sheetName val="Civil_Boq63"/>
      <sheetName val="PA-_Consutant_63"/>
      <sheetName val="Debits_as_on_12_04_0863"/>
      <sheetName val="Sheet3_(2)63"/>
      <sheetName val="INDORAMA_Group_June_0263"/>
      <sheetName val="cubes_M25 Nov-03"/>
      <sheetName val="Pile cap"/>
      <sheetName val="Boq (Main Building)"/>
      <sheetName val="Annexue B"/>
      <sheetName val="_Block_work1"/>
      <sheetName val="Flooring_&amp;_Road1"/>
      <sheetName val="BOM_1"/>
      <sheetName val="SUBMITED_bISS1"/>
      <sheetName val="TOTAL_SUMMARY1"/>
      <sheetName val="DOOR-WINDOW_SCHEDULE1"/>
      <sheetName val="BLOCK_WORK-GRD_FLR1"/>
      <sheetName val="Cleaning_&amp;_Grubbing1"/>
      <sheetName val="Abs_PMRL1"/>
      <sheetName val="220Kv_(2)1"/>
      <sheetName val="Japan_Reco1"/>
      <sheetName val="Source_Ref_1"/>
      <sheetName val="Name_List1"/>
      <sheetName val="water_prop_1"/>
      <sheetName val="Price_Comparison1"/>
      <sheetName val="BLOCK-A_(MEA_SHEET)1"/>
      <sheetName val="R_A_1"/>
      <sheetName val="costing_sheet1"/>
      <sheetName val="Labour_&amp;_Plant1"/>
      <sheetName val="Mar_Roster1"/>
      <sheetName val="4_Annex_1_Basic_rate1"/>
      <sheetName val="Door_Qty1"/>
      <sheetName val="Win_Qty1"/>
      <sheetName val="Capital_Structure1"/>
      <sheetName val="India_F&amp;S_Template1"/>
      <sheetName val="DETAILED__BOQ1"/>
      <sheetName val="BASIS_-DEC_081"/>
      <sheetName val="_1"/>
      <sheetName val="Recap_1"/>
      <sheetName val="Schedule_A11"/>
      <sheetName val="Abstract_(Buyback)1"/>
      <sheetName val="Civil_RA1"/>
      <sheetName val="Plumbing_RA1"/>
      <sheetName val="Electrical__RA1"/>
      <sheetName val="ELV_RA1"/>
      <sheetName val="FFTG_RA1"/>
      <sheetName val="HVAC_RA1"/>
      <sheetName val="Furniture_RA1"/>
      <sheetName val="Kichen_Equi__RA1"/>
      <sheetName val="Project_Budget_Worksheet1"/>
      <sheetName val="All_Components_Report1"/>
      <sheetName val="UNP-NCW_1"/>
      <sheetName val="BUD_07-081"/>
      <sheetName val="Final_Basic_rate1"/>
      <sheetName val="Elect_1"/>
      <sheetName val="old_boq1"/>
      <sheetName val="CABLENOS_1"/>
      <sheetName val="Works_-_Quote_Sheet1"/>
      <sheetName val="Lead_statement1"/>
      <sheetName val="Data_F8_BTR1"/>
      <sheetName val="Bill_1-BOQ-Civil_Works1"/>
      <sheetName val="Labour_Rate_1"/>
      <sheetName val="Material_List_1"/>
      <sheetName val="Sheet1_(2)1"/>
      <sheetName val="site_fab&amp;ernstr1"/>
      <sheetName val="2_1_受電設備棟1"/>
      <sheetName val="2_2_受・防火水槽1"/>
      <sheetName val="2_3_排水処理設備棟1"/>
      <sheetName val="2_4_倉庫棟1"/>
      <sheetName val="2_5_守衛棟1"/>
      <sheetName val="Step_11"/>
      <sheetName val="Core_Data"/>
      <sheetName val="2000_MOR"/>
      <sheetName val="Inc_St_-Link"/>
      <sheetName val="Main_Sheet"/>
      <sheetName val="Lookup_data"/>
      <sheetName val="13__Steel_-_Ratio"/>
      <sheetName val="CIV_INV&amp;EXP"/>
      <sheetName val="Civil_Works"/>
      <sheetName val="August_TB"/>
      <sheetName val="FLCB_List"/>
      <sheetName val="집계표(OPTION)"/>
      <sheetName val="Global_Assmptions1"/>
      <sheetName val="Data_sheet1"/>
      <sheetName val="NRC_Rationalisation1"/>
      <sheetName val="foot-slab_reinft1"/>
      <sheetName val="RA_11"/>
      <sheetName val="boq_lt"/>
      <sheetName val="MH(on_site)"/>
      <sheetName val="PMV Data"/>
      <sheetName val="HR &amp; Admin"/>
      <sheetName val="Exim FCL"/>
      <sheetName val="XREF"/>
      <sheetName val="7 Other Costs"/>
      <sheetName val="Annex"/>
      <sheetName val="2.Pardi"/>
      <sheetName val="Meas.-Tender"/>
      <sheetName val="Non-Tender"/>
      <sheetName val="Extra item"/>
      <sheetName val="1.MPB_Conveyer Pit"/>
      <sheetName val="2.Boiler Pit"/>
      <sheetName val="3. SWRC"/>
      <sheetName val="BM"/>
      <sheetName val="Cul_detail"/>
      <sheetName val="Diaphragm "/>
      <sheetName val="ETC Plant Cost"/>
      <sheetName val="Exist"/>
      <sheetName val="LEFT"/>
      <sheetName val="RIGHT"/>
      <sheetName val="Steel-Circular"/>
      <sheetName val="Mater_x0000_fÙ_x0002_G"/>
      <sheetName val="Line"/>
      <sheetName val="First Floor "/>
      <sheetName val="0000000000000"/>
      <sheetName val="02"/>
      <sheetName val="03"/>
      <sheetName val="04"/>
      <sheetName val="P.C"/>
      <sheetName val="RAB ABSTRACT-C&amp;B"/>
      <sheetName val="MB-EarthWork"/>
      <sheetName val="Water supply  "/>
      <sheetName val="Nt Item"/>
      <sheetName val="MB-PCC"/>
      <sheetName val="MB-Grade Slab"/>
      <sheetName val="MB-Fdn&amp;RW Ftgs."/>
      <sheetName val="MB-RCC-Walls"/>
      <sheetName val="Chart1"/>
      <sheetName val="Weld mesh"/>
      <sheetName val="BBS"/>
      <sheetName val="MB-RCC-Col.&amp;Ped"/>
      <sheetName val="MB-Ped&amp;Col.-Shut."/>
      <sheetName val="MB-RCC-Deck Slab"/>
      <sheetName val="MB-Wall-Shut."/>
      <sheetName val="MB-RCC-Others"/>
      <sheetName val="MB-Others-Shut."/>
      <sheetName val="MB-Footings Shut"/>
      <sheetName val="MB-Grouting"/>
      <sheetName val="MB-Anchorage"/>
      <sheetName val="MB-Block Work"/>
      <sheetName val="MB-Plastering"/>
      <sheetName val="MB-VDF"/>
      <sheetName val="MB-Insert Plates"/>
      <sheetName val="Basic Rate Summary Steel"/>
      <sheetName val="Basic Rate Summary RMC"/>
      <sheetName val="Elec. Debit"/>
      <sheetName val="Physical Check"/>
      <sheetName val="Man Power"/>
      <sheetName val="PRICE COMP"/>
      <sheetName val="steam outlet"/>
      <sheetName val="1.Report-1"/>
      <sheetName val="Accounts Data"/>
      <sheetName val="dBase"/>
      <sheetName val="Groupings-final"/>
      <sheetName val="Detail 1A"/>
      <sheetName val="Sched"/>
      <sheetName val="Trial"/>
      <sheetName val="FA_Final"/>
      <sheetName val="Non-Factory"/>
      <sheetName val="合成単価作成表-BLDG"/>
      <sheetName val="Detailed Summary (3)"/>
      <sheetName val="PART-I_(2)65"/>
      <sheetName val="final_abstract65"/>
      <sheetName val="Basement_Budget64"/>
      <sheetName val="Fee_Rate_Summary64"/>
      <sheetName val="Rate_analysis64"/>
      <sheetName val="Materials_Cost64"/>
      <sheetName val="10__&amp;_11__Rate_Code_&amp;_BQ64"/>
      <sheetName val="RES_STEEL_TO64"/>
      <sheetName val="Break_up_Sheet64"/>
      <sheetName val="B_&amp;_C_-_M_-_ccp64"/>
      <sheetName val="RMZ_Summary64"/>
      <sheetName val="Fill_this_out_first___64"/>
      <sheetName val="TBAL9697_-group_wise__sdpl64"/>
      <sheetName val="Fin_Sum64"/>
      <sheetName val="Site_Dev_BOQ64"/>
      <sheetName val="Staff_Forecast_spread64"/>
      <sheetName val="Field_Values64"/>
      <sheetName val="Structure_Bills_Qty64"/>
      <sheetName val="Builtup_Area64"/>
      <sheetName val="MASTER_RATE_ANALYSIS64"/>
      <sheetName val="Cop_-VGN64"/>
      <sheetName val="IO_List64"/>
      <sheetName val="BOQ_Direct_selling_cost64"/>
      <sheetName val="Stress_Calculation64"/>
      <sheetName val="Pipe_Supports64"/>
      <sheetName val="Materials_64"/>
      <sheetName val="MN_T_B_64"/>
      <sheetName val="ORDER_BOOKING4"/>
      <sheetName val="Break_Dw64"/>
      <sheetName val="For_Bill-04_PS4"/>
      <sheetName val="RCC,Ret__Wall40"/>
      <sheetName val="RA_4_Challan_Summary_40"/>
      <sheetName val="Labour_productivity40"/>
      <sheetName val="labour_coeff40"/>
      <sheetName val="BOQ_(2)5"/>
      <sheetName val="beam-reinft-IIInd_floor4"/>
      <sheetName val="Bed_Class9"/>
      <sheetName val="PH_data4"/>
      <sheetName val="Details_(3)4"/>
      <sheetName val="Desgn(zone_I)9"/>
      <sheetName val="M_B-QtyRecn6"/>
      <sheetName val="Sqn__Main__Abs4"/>
      <sheetName val="Staff_Acco_4"/>
      <sheetName val="Section_Catalogue4"/>
      <sheetName val="Approved_MTD_Proj_#'s4"/>
      <sheetName val="ACAD_Finishes5"/>
      <sheetName val="Site_Details5"/>
      <sheetName val="Site_Area_Statement5"/>
      <sheetName val="CABLE_DATA4"/>
      <sheetName val="Mat_Cost6"/>
      <sheetName val="GR_slab-reinft4"/>
      <sheetName val="BOQ_civil4"/>
      <sheetName val="NLD_-_Assum4"/>
      <sheetName val="schedule_nos4"/>
      <sheetName val="std_wt_4"/>
      <sheetName val="Column_Steel-R24"/>
      <sheetName val="Staircase_4"/>
      <sheetName val="INPUT_SHEET4"/>
      <sheetName val="M-Book_for_Conc4"/>
      <sheetName val="M-Book_for_FW4"/>
      <sheetName val="Cash_Flows_&amp;_IRR4"/>
      <sheetName val="d-safe_specs4"/>
      <sheetName val="d-safe_DELUXE4"/>
      <sheetName val="Diawise_steel_abstract4"/>
      <sheetName val="Rising_Main4"/>
      <sheetName val="PACK_(B)4"/>
      <sheetName val="Material_4"/>
      <sheetName val="bill_24"/>
      <sheetName val="Estimate_4"/>
      <sheetName val="QS_Name4"/>
      <sheetName val="CANDY_BOQ4"/>
      <sheetName val="CFForecast_detail4"/>
      <sheetName val="Model_(Not_Merged)4"/>
      <sheetName val="Tender_Summary4"/>
      <sheetName val="train_cash4"/>
      <sheetName val="accom_cash4"/>
      <sheetName val="Common_4"/>
      <sheetName val="Meas_-Hotel_Part4"/>
      <sheetName val="3__Elemental_Summary3"/>
      <sheetName val="Material_Rate3"/>
      <sheetName val="Retaing_wall3"/>
      <sheetName val="WORK_TABLE4"/>
      <sheetName val="220_11__BS_4"/>
      <sheetName val="Intro_4"/>
      <sheetName val="Operating_Statistics4"/>
      <sheetName val="except_wiring3"/>
      <sheetName val="CPIPE_13"/>
      <sheetName val="beam-reinft-machine_rm4"/>
      <sheetName val="intr_stool_brkup3"/>
      <sheetName val="Occ,_Other_Rev,_Exp,_Dispo3"/>
      <sheetName val="Vind_-_BtB4"/>
      <sheetName val="SGS_ACQ4"/>
      <sheetName val="Form_64"/>
      <sheetName val="Price_Schedule5"/>
      <sheetName val="Cost_Any_5"/>
      <sheetName val="S_&amp;_A5"/>
      <sheetName val="PointNo_53"/>
      <sheetName val="BOQ_Distribution3"/>
      <sheetName val="A_O_R_3"/>
      <sheetName val="PRECAST_lightconc-II3"/>
      <sheetName val="Detail_In_Door_Stad3"/>
      <sheetName val="P_Well(_RCC)3"/>
      <sheetName val="PO_Summary3"/>
      <sheetName val="BOQ_Summary3"/>
      <sheetName val="Sec_1_Loose_Furniture_18%_GST3"/>
      <sheetName val="Sec_1_Loose_Furniture_12%_GST3"/>
      <sheetName val="Sec_1_Loose_Furniture_5%_GST3"/>
      <sheetName val="Sec_2_Cafeteria_Tables3"/>
      <sheetName val="Sec_3_Cafeteria_Chairs3"/>
      <sheetName val="Sec_4_Work_Floors_-_NT_3"/>
      <sheetName val="Sec_5_LGF_Chairs-NT3"/>
      <sheetName val="Sec_6_Additional_18%_GST_3"/>
      <sheetName val="Sec_6_Additional_12%_GST_3"/>
      <sheetName val="Sec_11-NT_set_33"/>
      <sheetName val="DC_Summary3"/>
      <sheetName val="M_Sheet3"/>
      <sheetName val="RA4_Checklist3"/>
      <sheetName val="PC_Master_List3"/>
      <sheetName val="Project_Details__3"/>
      <sheetName val="Labor_abs-NMR3"/>
      <sheetName val="소상_&quot;1&quot;3"/>
      <sheetName val="M_S_3"/>
      <sheetName val="Discount_&amp;_Margin3"/>
      <sheetName val="Branch_Power3"/>
      <sheetName val="RAJU_ASSO3"/>
      <sheetName val="P-Ins_&amp;_Bonds3"/>
      <sheetName val="2_대외공문3"/>
      <sheetName val="NEW-IDs_Fun_&amp;_Group3"/>
      <sheetName val="LABOUR_SALARY_1"/>
      <sheetName val="Brickwork_1"/>
      <sheetName val="Finishing_items1"/>
      <sheetName val="M-_Rate1"/>
      <sheetName val="August_Construction_Planning__1"/>
      <sheetName val="Internal_Planning1"/>
      <sheetName val="July'2019_Weekly1"/>
      <sheetName val="9__Package_split_-_Cost_1"/>
      <sheetName val="Estimate_10_00_Lakhs_1"/>
      <sheetName val="abs_road1"/>
      <sheetName val="Road_data1"/>
      <sheetName val="Bld_SSR1"/>
      <sheetName val="SSR_-Sani_1"/>
      <sheetName val="Elec_SSR1"/>
      <sheetName val="PH-_SSR1"/>
      <sheetName val="R_&amp;_B_SSR1"/>
      <sheetName val="RCC_Pipes1"/>
      <sheetName val="DI-Pipes_&amp;_Spe1"/>
      <sheetName val="CI_Spe1"/>
      <sheetName val="Bolts&amp;_rings1"/>
      <sheetName val="Dist_Lines-150-old1"/>
      <sheetName val="GA-GVMC_-NW(Com)_1"/>
      <sheetName val="GA-GVMC_-NW_1"/>
      <sheetName val="Dist_Lines-1001"/>
      <sheetName val="Dist-Lines_-5001"/>
      <sheetName val="Dist_Lines-1501"/>
      <sheetName val="GA-GVMC_-NW__(2)1"/>
      <sheetName val="GA-GVMC_-NW__1"/>
      <sheetName val="Dist-Lines_B-1_1"/>
      <sheetName val="Dist-Lines-Final_checked1"/>
      <sheetName val="Pumping_mains-1"/>
      <sheetName val="Feeder_main-old1"/>
      <sheetName val="Dist-Lines_-B-21"/>
      <sheetName val="Dist-Lines_-B-31"/>
      <sheetName val="Dist-Lines_B-41"/>
      <sheetName val="Dist-Lines_B-51"/>
      <sheetName val="Dist-Lines_-B-61"/>
      <sheetName val="Dist-Lines_-B-71"/>
      <sheetName val="Dist-Lines_-B-81"/>
      <sheetName val="Dist-Lines_-B-91"/>
      <sheetName val="Dist-Lines_-B-101"/>
      <sheetName val="Dist-Lines_-B-111"/>
      <sheetName val="Dist-Lines_-B-121"/>
      <sheetName val="Dist-Lines_-B-131"/>
      <sheetName val="Dist-Lines_-B-141"/>
      <sheetName val="Dist-Lines_-B-151"/>
      <sheetName val="Dist-Lines_-B-161"/>
      <sheetName val="Feeder_mains-_11"/>
      <sheetName val="Feeder_mains-_21"/>
      <sheetName val="Feeder_mains-_(1)1"/>
      <sheetName val="Feeder_mains-up_to_8001"/>
      <sheetName val="Pumping_Main-800mm1"/>
      <sheetName val="ELSR-600_KL-Z-21"/>
      <sheetName val="750_KL_GLSR-Z-31"/>
      <sheetName val="ELSR-750_KL-Z-31"/>
      <sheetName val="ELSR-500_KL-Z-41"/>
      <sheetName val="500_KL_GLSR-Z-41"/>
      <sheetName val="ELSR-1850_KL-Z-81"/>
      <sheetName val="1850_KL_GLSR-Z-81"/>
      <sheetName val="800_KL_GLSR-Z-111"/>
      <sheetName val="900_KL_GLSR-Z-121"/>
      <sheetName val="ELSR-2500_KL-Z-131"/>
      <sheetName val="ELSR-2400_KL-Z-141"/>
      <sheetName val="ELSR-1200_KL-Z-151"/>
      <sheetName val="ELSR-2000_KL-Z-161"/>
      <sheetName val="Pumping_Main-500mm-(2)1"/>
      <sheetName val="terrace_parapet_block_work1"/>
      <sheetName val="Canopy-2_RCC11"/>
      <sheetName val="Canopy-2_BBS1"/>
      <sheetName val="Canopy-1_RCC11"/>
      <sheetName val="Canopy-1_BBS1"/>
      <sheetName val="Above_terrace_columns_RCC1"/>
      <sheetName val="Above_terrace_columns_BBS1"/>
      <sheetName val="Parapet_wall_RCC1"/>
      <sheetName val="Parapet_wall_BBS1"/>
      <sheetName val="OHWT_RCC1"/>
      <sheetName val="OHWT_Slab_BBS1"/>
      <sheetName val="OHWT_Beams__BBS1"/>
      <sheetName val="Slab_&amp;_Beam_@_0_00_Lvl1"/>
      <sheetName val="Slab_&amp;_Beam1"/>
      <sheetName val="Lintels_&amp;_Window1"/>
      <sheetName val="Column_Steel_(UBF)1"/>
      <sheetName val="Column_Steel_(SF)1"/>
      <sheetName val="Column_Steel_(1F)1"/>
      <sheetName val="Column_Steel_(2F)1"/>
      <sheetName val="Column_Steel_(3F)1"/>
      <sheetName val="Column_Steel_(4F-6F)1"/>
      <sheetName val="Column_Steel_(7F-9F)1"/>
      <sheetName val="Column_Steel_(10F-12F)1"/>
      <sheetName val="Column_Steel_(13F-15F)1"/>
      <sheetName val="Column_Steel_(16F-17F)1"/>
      <sheetName val="Column_Steel_(18F)1"/>
      <sheetName val="Lift_Steel_(UBF)1"/>
      <sheetName val="Lift_Steel_(SF)1"/>
      <sheetName val="Lift_Steel_(1F-6F)1"/>
      <sheetName val="Lift_Steel_(7F-12F)1"/>
      <sheetName val="Lift_Steel_(13F-18F)1"/>
      <sheetName val="_Staircase_Steel_(UBF)1"/>
      <sheetName val="_Staircase_Steel_(SF)1"/>
      <sheetName val="_Staircase_Steel_(1F-7F)1"/>
      <sheetName val="_Staircase_Steel_(8F-18F)1"/>
      <sheetName val="Beams_Steel_(SF)1"/>
      <sheetName val="Slab_Steel_(SF)1"/>
      <sheetName val="Beams_Steel_(1F)1"/>
      <sheetName val="Slab_Steel_(1F)1"/>
      <sheetName val="Beams_Steel_(2F&amp;3F)1"/>
      <sheetName val="Slab_Steel_(2F&amp;3F)1"/>
      <sheetName val="Beams_Steel_(4F)1"/>
      <sheetName val="Slab_Steel_(4F)1"/>
      <sheetName val="Beams_Steel_(5F-7F)1"/>
      <sheetName val="Slab_Steel_(5F-7F)1"/>
      <sheetName val="Beams_Steel_(8F-15F&amp;18F)1"/>
      <sheetName val="Slab_Steel_(8F-15F&amp;18F)1"/>
      <sheetName val="Beams_Steel_(16F&amp;17F)1"/>
      <sheetName val="Slab_Steel_(16F&amp;17F)1"/>
      <sheetName val="Beams_Steel_(TF)1"/>
      <sheetName val="Slab_Steel_(TF)1"/>
      <sheetName val="100mm_Block_Work1"/>
      <sheetName val="150mm_BLOCKS1"/>
      <sheetName val="200mm_BLOCKS1"/>
      <sheetName val="Internal_Walls_Plastering1"/>
      <sheetName val="Internal_Ceiling_Plastering1"/>
      <sheetName val="External_plaster1"/>
      <sheetName val="Tower-_A_(Abstract)1"/>
      <sheetName val="Canopy-2_RCC2"/>
      <sheetName val="Canopy_-1_RCC1"/>
      <sheetName val="Canaopy-2_steel1"/>
      <sheetName val="Canopy-1_steel1"/>
      <sheetName val="Columns_above_terrace1"/>
      <sheetName val="OHT_bottom_&amp;_walls_1"/>
      <sheetName val="Slab_&amp;_Beam_at_0_00lvl1"/>
      <sheetName val="Slab_&amp;_Beam_at_+3_25lvl1"/>
      <sheetName val="Parapet_slab&amp;beams1"/>
      <sheetName val="Column_Steel(SF_to_TF)1"/>
      <sheetName val="Above_terrace_column_steel1"/>
      <sheetName val="Lift_Wall_-_Stilt_Floor1"/>
      <sheetName val="Lift_Wall_1F-6F1"/>
      <sheetName val="Lift_Wall_7F-12F1"/>
      <sheetName val="Lift_Wall_13F-18F1"/>
      <sheetName val="Lift_wall_terrace_floor1"/>
      <sheetName val="Staircase_-_UBF1"/>
      <sheetName val="Staircase_-_SF1"/>
      <sheetName val="Staircase_-_1F-7F1"/>
      <sheetName val="Staircase_-_8F-18F1"/>
      <sheetName val="Beam_Steel_-_SF1"/>
      <sheetName val="Slab_Steel_-_SF1"/>
      <sheetName val="Beam_Steel-_1F1"/>
      <sheetName val="Slab_Steel_-_1F1"/>
      <sheetName val="Beams_Steel_2F1"/>
      <sheetName val="Slab_steel_2F1"/>
      <sheetName val="Beams_Steel_3F1"/>
      <sheetName val="Slab_steel_3F1"/>
      <sheetName val="Beams_Steel_-_4F1"/>
      <sheetName val="Slab_steel_4F1"/>
      <sheetName val="Beam_steel_5F-7F1"/>
      <sheetName val="Slab_steel_5F-7F1"/>
      <sheetName val="Beam_steel_8F-15F_&amp;_18F1"/>
      <sheetName val="Slab_steel_8F-15F&amp;_18F1"/>
      <sheetName val="Beam_steel_16F_-_17F1"/>
      <sheetName val="Slab_steel_16F_-_17F1"/>
      <sheetName val="Beam_steel_TF1"/>
      <sheetName val="Slab_steel_TF1"/>
      <sheetName val="OHT_Slab_steel_1"/>
      <sheetName val="OHT_beam_steel_1"/>
      <sheetName val="A-_terrace_coping_BBS1"/>
      <sheetName val="Copping_beam_BBS_A_terrace1"/>
      <sheetName val="150_mm_BLOCKS1"/>
      <sheetName val="200_mm_BLOCKS1"/>
      <sheetName val="Pumping_Main-450mm-(3)1"/>
      <sheetName val="Pumping_Main-(4)1"/>
      <sheetName val="350_KL_GLSR1"/>
      <sheetName val="1000_KL_Sump-1"/>
      <sheetName val="1000_KL_MBR1"/>
      <sheetName val="MBR-1000_KL1"/>
      <sheetName val="Pump_room-12x81"/>
      <sheetName val="B_F_Meters1"/>
      <sheetName val="Pump_sets1"/>
      <sheetName val="Pump_sets_(2)1"/>
      <sheetName val="Gen_sets1"/>
      <sheetName val="PR_Valves1"/>
      <sheetName val="W_man_Qrt-1"/>
      <sheetName val="O_&amp;M1"/>
      <sheetName val="Generator_Room-11"/>
      <sheetName val="200_KL_GLSR-6_(2)1"/>
      <sheetName val="500_KL_Sump-(1)1"/>
      <sheetName val="250_KL_Sump-(3)1"/>
      <sheetName val="Office_-_MBR1"/>
      <sheetName val="HSC_(2)1"/>
      <sheetName val="Gen_sets_(2)1"/>
      <sheetName val="DI_pipes1"/>
      <sheetName val="Wt_of_DI_Spe_1"/>
      <sheetName val="HDPE_pipes1"/>
      <sheetName val="RCC_SS1"/>
      <sheetName val="CI_Spe_1"/>
      <sheetName val="data-ELSR_1"/>
      <sheetName val="data-Water_Supply1"/>
      <sheetName val="Sump_&amp;_ST1"/>
      <sheetName val="Bld_Stnd,Data1"/>
      <sheetName val="Bld_up_to_3F1"/>
      <sheetName val="CC_road1"/>
      <sheetName val="Dist_Lines1"/>
      <sheetName val="Feeder_mains-21"/>
      <sheetName val="Gravity_Main-900mm1"/>
      <sheetName val="550_KL_Sump-11"/>
      <sheetName val="550_KL_Sump-21"/>
      <sheetName val="ELSR-1200_KL1"/>
      <sheetName val="650_KL_GLSR_(2)1"/>
      <sheetName val="850_KL_GLSR_1"/>
      <sheetName val="500_KL_sump1"/>
      <sheetName val="200_KL-_ELSR_Yelluru1"/>
      <sheetName val="Dist-Zone-below_500001"/>
      <sheetName val="Data_-O&amp;M1"/>
      <sheetName val="Pumping_main-350mm1"/>
      <sheetName val="Inf_Well1"/>
      <sheetName val="Approah_road_to_MBR1"/>
      <sheetName val="Approach_Roads-Source1"/>
      <sheetName val="400mm-P_Main1"/>
      <sheetName val="13_Mld-WTP1"/>
      <sheetName val="data-Intake_well1"/>
      <sheetName val="Model_GLSR-1"/>
      <sheetName val="Feeder_main-1_(2)1"/>
      <sheetName val="Dist_&amp;_Feeder_mains__(2)1"/>
      <sheetName val="BFlow_meters1"/>
      <sheetName val="O_Nd_M1"/>
      <sheetName val="Pump_room-6_59x6_00m1"/>
      <sheetName val="GA-GVMC_-Raiwada-BWSC1"/>
      <sheetName val="BWSC-Pumping_Main-1200mm1"/>
      <sheetName val="GA-GVMC_-Raiwada1"/>
      <sheetName val="MS-Pumping_Main-1300mm1"/>
      <sheetName val="Thurst-F_mains1"/>
      <sheetName val="Thrust-P_mains1"/>
      <sheetName val="CI_weights1"/>
      <sheetName val="Proforma_-II_1"/>
      <sheetName val="LIST_OF_MAKES1"/>
      <sheetName val="April_Analysts1"/>
      <sheetName val="Basic_Rate1"/>
      <sheetName val="Consumer_Fraud1"/>
      <sheetName val="Avoidance_1"/>
      <sheetName val="Cons_Recov_Rates1"/>
      <sheetName val="Consumer_Supps1"/>
      <sheetName val="Consumer_Outbound1"/>
      <sheetName val="FY_Loss_Frcst1"/>
      <sheetName val="FITZ_MORT_941"/>
      <sheetName val="footing_for_SP1"/>
      <sheetName val="Master_Info1"/>
      <sheetName val="AD_ST1"/>
      <sheetName val="PRECAST_lightconc_II"/>
      <sheetName val="Roof__PT_beams_"/>
      <sheetName val="Client_Addressess_"/>
      <sheetName val="Basic_Rates"/>
      <sheetName val="SP_Break_Up"/>
      <sheetName val="sch-3"/>
      <sheetName val="Lintel Beam 104.70 (GF)  "/>
      <sheetName val="Bechtel Norms"/>
      <sheetName val="Pr.-hist."/>
      <sheetName val="͕_x0000__x0000_S͖_x0000__x0000_C͗_x0000__x0000_s͘_x0000__x0000_r͙_x0000__x0000_ ͙_x0000__x0000_c͙_x0000__x0000_t͙_x0000__x0000_"/>
      <sheetName val="͙_x0000__x0000_S͙_x0000__x0000_C͚_x0000__x0000_s͙_x0000__x0000_D͙_x0000__x0000_N͘_x0000__x0000_S͘_x0000__x0000_E͙_x0000__x0000_"/>
      <sheetName val="Approved MTD Pro_x0000__x0000_#͕_x0000_"/>
      <sheetName val="͖_x0000__x0000_S͗_x0000__x0000_C͘_x0000__x0000_s͙_x0000__x0000_r͙_x0000__x0000__͙_x0000__x0000_c͙_x0000__x0000_t͙_x0000__x0000_"/>
      <sheetName val="͘_x0000__x0000_S͘_x0000__x0000_C͙_x0000__x0000_s͙_x0000__x0000_D͙_x0000__x0000_N͙_x0000__x0000_S͛_x0000__x0000_E͛_x0000__x0000_"/>
      <sheetName val="͞_x0000__x0000_S͞_x0000__x0000_C͟_x0000__x0000_s͕_x0000__x0000_t͖_x0000__x0000_a͗_x0000__x0000_q͘_x0000__x0000_m͙_x0000__x0000_"/>
      <sheetName val="TB"/>
      <sheetName val="MN__x0005__x0000__x0000__x0000_"/>
      <sheetName val="MN_堌_x001f_塔_x001f_ꮸ"/>
      <sheetName val="MN_囼&lt;坄&lt;ꮸ"/>
      <sheetName val="MN_寐Ïꮸ『_x0005_"/>
      <sheetName val="MN_召į吴įꮸ"/>
      <sheetName val="MN_婌s媔sꮸ"/>
      <sheetName val="MN_吠Ęꮸ⼢_x0005_"/>
      <sheetName val="MN_唠uꮸ⾝_x0005_"/>
      <sheetName val="MN_嚐Yꮸ】_x0005_"/>
      <sheetName val="MN_婬~媴~ꮸ"/>
      <sheetName val="MN_ꮸ》_x0005__x0000_"/>
      <sheetName val="MN_夀ïꮸ⾥_x0005_"/>
      <sheetName val="MN_ꮸ⾥_x0005__x0000_"/>
      <sheetName val="MS Rates"/>
      <sheetName val="BLKs_C"/>
      <sheetName val="당초"/>
      <sheetName val="Cash2"/>
      <sheetName val="Z"/>
      <sheetName val="Estt"/>
      <sheetName val="EW SR"/>
      <sheetName val="Qty SR"/>
      <sheetName val="Evaluate"/>
      <sheetName val="͕S͖C͗s͘r͙ ͙c͙t͙"/>
      <sheetName val="͙S͙C͚s͙D͙N͘S͘E͙"/>
      <sheetName val="Approved MTD Pro#͕"/>
      <sheetName val="͖S͗C͘s͙r͙_͙c͙t͙"/>
      <sheetName val="͘S͘C͙s͙D͙N͙S͛E͛"/>
      <sheetName val="͞S͞C͟s͕t͖a͗q͘m͙"/>
      <sheetName val="MN__x0005_"/>
      <sheetName val="MN_ꮸ》_x0005_"/>
      <sheetName val="MN_ꮸ⾥_x0005_"/>
      <sheetName val="Uls"/>
      <sheetName val="SEW4"/>
      <sheetName val="18-misc"/>
      <sheetName val="5-pipe"/>
      <sheetName val="Staff Acco_"/>
      <sheetName val="HEAD"/>
      <sheetName val="activit-graph  "/>
      <sheetName val="Staff"/>
      <sheetName val="Construction"/>
      <sheetName val="Data-Month"/>
      <sheetName val="doq"/>
      <sheetName val="cover page"/>
      <sheetName val="REFERANCE_DATA"/>
      <sheetName val="DOOR_WINDOW"/>
      <sheetName val="Cash_Flow_Working"/>
      <sheetName val="Plant_&amp;__Machinery"/>
      <sheetName val="Beam-design exp"/>
      <sheetName val="Basic Rates - Lab"/>
      <sheetName val="Basic Rates - Assump"/>
      <sheetName val="Mix Design"/>
      <sheetName val="ltgload"/>
      <sheetName val="CS PIPING"/>
      <sheetName val="TECH DATA"/>
      <sheetName val="no."/>
      <sheetName val="Machinery"/>
      <sheetName val="Section_by_layers_old"/>
      <sheetName val="sumary"/>
      <sheetName val="2nd "/>
      <sheetName val="shuttering"/>
      <sheetName val="Sheet7"/>
      <sheetName val="strain"/>
      <sheetName val="L (4)"/>
      <sheetName val="PART-I_(2)66"/>
      <sheetName val="final_abstract66"/>
      <sheetName val="Basement_Budget65"/>
      <sheetName val="Fee_Rate_Summary65"/>
      <sheetName val="Rate_analysis65"/>
      <sheetName val="Break_up_Sheet65"/>
      <sheetName val="TBAL9697_-group_wise__sdpl65"/>
      <sheetName val="B_&amp;_C_-_M_-_ccp65"/>
      <sheetName val="Materials_Cost65"/>
      <sheetName val="10__&amp;_11__Rate_Code_&amp;_BQ65"/>
      <sheetName val="RES_STEEL_TO65"/>
      <sheetName val="RMZ_Summary65"/>
      <sheetName val="Site_Dev_BOQ65"/>
      <sheetName val="Staff_Forecast_spread65"/>
      <sheetName val="Fin_Sum65"/>
      <sheetName val="IO_List65"/>
      <sheetName val="Fill_this_out_first___65"/>
      <sheetName val="Field_Values65"/>
      <sheetName val="INDORAMA_Group_June_0264"/>
      <sheetName val="Structure_Bills_Qty65"/>
      <sheetName val="Builtup_Area65"/>
      <sheetName val="MASTER_RATE_ANALYSIS65"/>
      <sheetName val="Cop_-VGN65"/>
      <sheetName val="Pipe_Supports65"/>
      <sheetName val="Materials_65"/>
      <sheetName val="BOQ_Direct_selling_cost65"/>
      <sheetName val="Stress_Calculation65"/>
      <sheetName val="MN_T_B_65"/>
      <sheetName val="E_&amp;_R64"/>
      <sheetName val="Exp_64"/>
      <sheetName val="INDIGINEOUS_ITEMS_64"/>
      <sheetName val="Break_Dw65"/>
      <sheetName val="Load_Details(B1)64"/>
      <sheetName val="SPT_vs_PHI64"/>
      <sheetName val="Civil_Boq64"/>
      <sheetName val="Debits_as_on_12_04_0864"/>
      <sheetName val="RCC,Ret__Wall41"/>
      <sheetName val="RA_4_Challan_Summary_41"/>
      <sheetName val="Labour_productivity41"/>
      <sheetName val="labour_coeff41"/>
      <sheetName val="BOQ_(2)6"/>
      <sheetName val="GR_slab-reinft5"/>
      <sheetName val="For_Bill-04_PS5"/>
      <sheetName val="ORDER_BOOKING5"/>
      <sheetName val="beam-reinft-IIInd_floor5"/>
      <sheetName val="PA-_Consutant_64"/>
      <sheetName val="Sheet3_(2)64"/>
      <sheetName val="CABLE_DATA5"/>
      <sheetName val="Approved_MTD_Proj_#'s5"/>
      <sheetName val="M_B-QtyRecn7"/>
      <sheetName val="Bed_Class10"/>
      <sheetName val="PH_data5"/>
      <sheetName val="Details_(3)5"/>
      <sheetName val="Desgn(zone_I)10"/>
      <sheetName val="NLD_-_Assum5"/>
      <sheetName val="schedule_nos5"/>
      <sheetName val="Sqn__Main__Abs5"/>
      <sheetName val="Mat_Cost7"/>
      <sheetName val="Staff_Acco_5"/>
      <sheetName val="Section_Catalogue5"/>
      <sheetName val="ACAD_Finishes6"/>
      <sheetName val="Site_Details6"/>
      <sheetName val="Site_Area_Statement6"/>
      <sheetName val="M-Book_for_Conc5"/>
      <sheetName val="M-Book_for_FW5"/>
      <sheetName val="PACK_(B)5"/>
      <sheetName val="BOQ_civil5"/>
      <sheetName val="Staircase_5"/>
      <sheetName val="Material_5"/>
      <sheetName val="Estimate_5"/>
      <sheetName val="bill_25"/>
      <sheetName val="INPUT_SHEET5"/>
      <sheetName val="Rising_Main5"/>
      <sheetName val="d-safe_specs5"/>
      <sheetName val="d-safe_DELUXE5"/>
      <sheetName val="Diawise_steel_abstract5"/>
      <sheetName val="Tender_Summary5"/>
      <sheetName val="std_wt_5"/>
      <sheetName val="Column_Steel-R25"/>
      <sheetName val="Cash_Flows_&amp;_IRR5"/>
      <sheetName val="QS_Name5"/>
      <sheetName val="CANDY_BOQ5"/>
      <sheetName val="CFForecast_detail5"/>
      <sheetName val="Model_(Not_Merged)5"/>
      <sheetName val="SGS_ACQ5"/>
      <sheetName val="train_cash5"/>
      <sheetName val="accom_cash5"/>
      <sheetName val="Common_5"/>
      <sheetName val="Meas_-Hotel_Part5"/>
      <sheetName val="beam-reinft-machine_rm5"/>
      <sheetName val="Vind_-_BtB5"/>
      <sheetName val="WORK_TABLE5"/>
      <sheetName val="220_11__BS_5"/>
      <sheetName val="Intro_5"/>
      <sheetName val="Form_65"/>
      <sheetName val="Operating_Statistics5"/>
      <sheetName val="Material_Rate4"/>
      <sheetName val="Retaing_wall4"/>
      <sheetName val="except_wiring4"/>
      <sheetName val="CPIPE_14"/>
      <sheetName val="intr_stool_brkup4"/>
      <sheetName val="3__Elemental_Summary4"/>
      <sheetName val="Detail_In_Door_Stad4"/>
      <sheetName val="M_S_4"/>
      <sheetName val="RAJU_ASSO4"/>
      <sheetName val="Price_Schedule6"/>
      <sheetName val="Cost_Any_6"/>
      <sheetName val="S_&amp;_A6"/>
      <sheetName val="PointNo_54"/>
      <sheetName val="BOQ_Distribution4"/>
      <sheetName val="A_O_R_4"/>
      <sheetName val="PRECAST_lightconc-II4"/>
      <sheetName val="PO_Summary4"/>
      <sheetName val="BOQ_Summary4"/>
      <sheetName val="Sec_1_Loose_Furniture_18%_GST4"/>
      <sheetName val="Sec_1_Loose_Furniture_12%_GST4"/>
      <sheetName val="Sec_1_Loose_Furniture_5%_GST4"/>
      <sheetName val="Sec_2_Cafeteria_Tables4"/>
      <sheetName val="Sec_3_Cafeteria_Chairs4"/>
      <sheetName val="Sec_4_Work_Floors_-_NT_4"/>
      <sheetName val="Sec_5_LGF_Chairs-NT4"/>
      <sheetName val="Sec_6_Additional_18%_GST_4"/>
      <sheetName val="Sec_6_Additional_12%_GST_4"/>
      <sheetName val="Sec_11-NT_set_34"/>
      <sheetName val="DC_Summary4"/>
      <sheetName val="M_Sheet4"/>
      <sheetName val="RA4_Checklist4"/>
      <sheetName val="Occ,_Other_Rev,_Exp,_Dispo4"/>
      <sheetName val="Cleaning_&amp;_Grubbing2"/>
      <sheetName val="Labor_abs-NMR4"/>
      <sheetName val="water_prop_2"/>
      <sheetName val="Name_List2"/>
      <sheetName val="Abs_PMRL2"/>
      <sheetName val="DOOR-WINDOW_SCHEDULE2"/>
      <sheetName val="BLOCK_WORK-GRD_FLR2"/>
      <sheetName val="P_Well(_RCC)4"/>
      <sheetName val="소상_&quot;1&quot;4"/>
      <sheetName val="Discount_&amp;_Margin4"/>
      <sheetName val="Branch_Power4"/>
      <sheetName val="Japan_Reco2"/>
      <sheetName val="_Block_work2"/>
      <sheetName val="Flooring_&amp;_Road2"/>
      <sheetName val="BOM_2"/>
      <sheetName val="SUBMITED_bISS2"/>
      <sheetName val="TOTAL_SUMMARY2"/>
      <sheetName val="P-Ins_&amp;_Bonds4"/>
      <sheetName val="PC_Master_List4"/>
      <sheetName val="Project_Details__4"/>
      <sheetName val="2_대외공문4"/>
      <sheetName val="NEW-IDs_Fun_&amp;_Group4"/>
      <sheetName val="Labour_&amp;_Plant2"/>
      <sheetName val="4_Annex_1_Basic_rate2"/>
      <sheetName val="Door_Qty2"/>
      <sheetName val="Win_Qty2"/>
      <sheetName val="220Kv_(2)2"/>
      <sheetName val="Capital_Structure2"/>
      <sheetName val="Mar_Roster2"/>
      <sheetName val="costing_sheet2"/>
      <sheetName val="Project_Budget_Worksheet2"/>
      <sheetName val="All_Components_Report2"/>
      <sheetName val="R_A_2"/>
      <sheetName val="Recap_2"/>
      <sheetName val="Schedule_A12"/>
      <sheetName val="Abstract_(Buyback)2"/>
      <sheetName val="Civil_RA2"/>
      <sheetName val="Plumbing_RA2"/>
      <sheetName val="Electrical__RA2"/>
      <sheetName val="ELV_RA2"/>
      <sheetName val="FFTG_RA2"/>
      <sheetName val="HVAC_RA2"/>
      <sheetName val="Furniture_RA2"/>
      <sheetName val="Kichen_Equi__RA2"/>
      <sheetName val="Price_Comparison2"/>
      <sheetName val="BLOCK-A_(MEA_SHEET)2"/>
      <sheetName val="India_F&amp;S_Template2"/>
      <sheetName val="DETAILED__BOQ2"/>
      <sheetName val="BASIS_-DEC_082"/>
      <sheetName val="_2"/>
      <sheetName val="BUD_07-082"/>
      <sheetName val="UNP-NCW_2"/>
      <sheetName val="Final_Basic_rate2"/>
      <sheetName val="Step_12"/>
      <sheetName val="Source_Ref_2"/>
      <sheetName val="Elect_2"/>
      <sheetName val="Bill_1-BOQ-Civil_Works2"/>
      <sheetName val="old_boq2"/>
      <sheetName val="2_1_受電設備棟2"/>
      <sheetName val="2_2_受・防火水槽2"/>
      <sheetName val="2_3_排水処理設備棟2"/>
      <sheetName val="2_4_倉庫棟2"/>
      <sheetName val="2_5_守衛棟2"/>
      <sheetName val="Global_Assmptions2"/>
      <sheetName val="9__Package_split_-_Cost_2"/>
      <sheetName val="FITZ_MORT_942"/>
      <sheetName val="CABLENOS_2"/>
      <sheetName val="August_Construction_Planning__2"/>
      <sheetName val="Internal_Planning2"/>
      <sheetName val="July'2019_Weekly2"/>
      <sheetName val="M-_Rate2"/>
      <sheetName val="Works_-_Quote_Sheet2"/>
      <sheetName val="Lead_statement2"/>
      <sheetName val="Data_F8_BTR2"/>
      <sheetName val="Main_Sheet1"/>
      <sheetName val="Lookup_data1"/>
      <sheetName val="Sheet1_(2)2"/>
      <sheetName val="site_fab&amp;ernstr2"/>
      <sheetName val="13__Steel_-_Ratio1"/>
      <sheetName val="Bld_SSR2"/>
      <sheetName val="SSR_-Sani_2"/>
      <sheetName val="Elec_SSR2"/>
      <sheetName val="PH-_SSR2"/>
      <sheetName val="R_&amp;_B_SSR2"/>
      <sheetName val="RCC_Pipes2"/>
      <sheetName val="DI-Pipes_&amp;_Spe2"/>
      <sheetName val="CI_Spe2"/>
      <sheetName val="Bolts&amp;_rings2"/>
      <sheetName val="Dist_Lines-150-old2"/>
      <sheetName val="GA-GVMC_-NW(Com)_2"/>
      <sheetName val="GA-GVMC_-NW_2"/>
      <sheetName val="Dist_Lines-1002"/>
      <sheetName val="Dist-Lines_-5002"/>
      <sheetName val="Dist_Lines-1502"/>
      <sheetName val="GA-GVMC_-NW__(2)2"/>
      <sheetName val="GA-GVMC_-NW__2"/>
      <sheetName val="Dist-Lines_B-1_2"/>
      <sheetName val="Dist-Lines-Final_checked2"/>
      <sheetName val="Pumping_mains-2"/>
      <sheetName val="Feeder_main-old2"/>
      <sheetName val="Dist-Lines_-B-22"/>
      <sheetName val="Dist-Lines_-B-32"/>
      <sheetName val="Dist-Lines_B-42"/>
      <sheetName val="Dist-Lines_B-52"/>
      <sheetName val="Dist-Lines_-B-62"/>
      <sheetName val="Dist-Lines_-B-72"/>
      <sheetName val="Dist-Lines_-B-82"/>
      <sheetName val="Dist-Lines_-B-92"/>
      <sheetName val="Dist-Lines_-B-102"/>
      <sheetName val="Dist-Lines_-B-112"/>
      <sheetName val="Dist-Lines_-B-122"/>
      <sheetName val="Dist-Lines_-B-132"/>
      <sheetName val="Dist-Lines_-B-142"/>
      <sheetName val="Dist-Lines_-B-152"/>
      <sheetName val="Dist-Lines_-B-162"/>
      <sheetName val="Feeder_mains-_12"/>
      <sheetName val="Feeder_mains-_22"/>
      <sheetName val="Feeder_mains-_(1)2"/>
      <sheetName val="Feeder_mains-up_to_8002"/>
      <sheetName val="Pumping_Main-800mm2"/>
      <sheetName val="ELSR-600_KL-Z-22"/>
      <sheetName val="750_KL_GLSR-Z-32"/>
      <sheetName val="ELSR-750_KL-Z-32"/>
      <sheetName val="ELSR-500_KL-Z-42"/>
      <sheetName val="500_KL_GLSR-Z-42"/>
      <sheetName val="ELSR-1850_KL-Z-82"/>
      <sheetName val="1850_KL_GLSR-Z-82"/>
      <sheetName val="800_KL_GLSR-Z-112"/>
      <sheetName val="900_KL_GLSR-Z-122"/>
      <sheetName val="ELSR-2500_KL-Z-132"/>
      <sheetName val="ELSR-2400_KL-Z-142"/>
      <sheetName val="ELSR-1200_KL-Z-152"/>
      <sheetName val="ELSR-2000_KL-Z-162"/>
      <sheetName val="CIV_INV&amp;EXP1"/>
      <sheetName val="Pumping_Main-500mm-(2)2"/>
      <sheetName val="Pumping_Main-450mm-(3)2"/>
      <sheetName val="Pumping_Main-(4)2"/>
      <sheetName val="350_KL_GLSR2"/>
      <sheetName val="Proforma_-II_2"/>
      <sheetName val="Road_data2"/>
      <sheetName val="Master_Info2"/>
      <sheetName val="NRC_Rationalisation2"/>
      <sheetName val="Labour_Rate_2"/>
      <sheetName val="Material_List_2"/>
      <sheetName val="Data_sheet2"/>
      <sheetName val="foot-slab_reinft2"/>
      <sheetName val="Core_Data1"/>
      <sheetName val="1000_KL_Sump-2"/>
      <sheetName val="1000_KL_MBR2"/>
      <sheetName val="MBR-1000_KL2"/>
      <sheetName val="Pump_room-12x82"/>
      <sheetName val="B_F_Meters2"/>
      <sheetName val="Estimate_10_00_Lakhs_2"/>
      <sheetName val="abs_road2"/>
      <sheetName val="Pump_sets2"/>
      <sheetName val="Pump_sets_(2)2"/>
      <sheetName val="Gen_sets2"/>
      <sheetName val="PR_Valves2"/>
      <sheetName val="W_man_Qrt-2"/>
      <sheetName val="O_&amp;M2"/>
      <sheetName val="Generator_Room-12"/>
      <sheetName val="200_KL_GLSR-6_(2)2"/>
      <sheetName val="500_KL_Sump-(1)2"/>
      <sheetName val="250_KL_Sump-(3)2"/>
      <sheetName val="Office_-_MBR2"/>
      <sheetName val="HSC_(2)2"/>
      <sheetName val="Gen_sets_(2)2"/>
      <sheetName val="DI_pipes2"/>
      <sheetName val="Wt_of_DI_Spe_2"/>
      <sheetName val="HDPE_pipes2"/>
      <sheetName val="RCC_SS2"/>
      <sheetName val="CI_Spe_2"/>
      <sheetName val="data-ELSR_2"/>
      <sheetName val="data-Water_Supply2"/>
      <sheetName val="Sump_&amp;_ST2"/>
      <sheetName val="Bld_Stnd,Data2"/>
      <sheetName val="Bld_up_to_3F2"/>
      <sheetName val="CC_road2"/>
      <sheetName val="Dist_Lines2"/>
      <sheetName val="Feeder_mains-22"/>
      <sheetName val="Gravity_Main-900mm2"/>
      <sheetName val="550_KL_Sump-12"/>
      <sheetName val="550_KL_Sump-22"/>
      <sheetName val="ELSR-1200_KL2"/>
      <sheetName val="650_KL_GLSR_(2)2"/>
      <sheetName val="850_KL_GLSR_2"/>
      <sheetName val="500_KL_sump2"/>
      <sheetName val="200_KL-_ELSR_Yelluru2"/>
      <sheetName val="Dist-Zone-below_500002"/>
      <sheetName val="Data_-O&amp;M2"/>
      <sheetName val="Pumping_main-350mm2"/>
      <sheetName val="Inf_Well2"/>
      <sheetName val="Approah_road_to_MBR2"/>
      <sheetName val="Approach_Roads-Source2"/>
      <sheetName val="400mm-P_Main2"/>
      <sheetName val="13_Mld-WTP2"/>
      <sheetName val="data-Intake_well2"/>
      <sheetName val="Model_GLSR-2"/>
      <sheetName val="Feeder_main-1_(2)2"/>
      <sheetName val="Dist_&amp;_Feeder_mains__(2)2"/>
      <sheetName val="BFlow_meters2"/>
      <sheetName val="O_Nd_M2"/>
      <sheetName val="Pump_room-6_59x6_00m2"/>
      <sheetName val="GA-GVMC_-Raiwada-BWSC2"/>
      <sheetName val="BWSC-Pumping_Main-1200mm2"/>
      <sheetName val="GA-GVMC_-Raiwada2"/>
      <sheetName val="MS-Pumping_Main-1300mm2"/>
      <sheetName val="Thurst-F_mains2"/>
      <sheetName val="Thrust-P_mains2"/>
      <sheetName val="CI_weights2"/>
      <sheetName val="FLCB_List1"/>
      <sheetName val="LABOUR_SALARY_2"/>
      <sheetName val="Brickwork_2"/>
      <sheetName val="Finishing_items2"/>
      <sheetName val="terrace_parapet_block_work2"/>
      <sheetName val="Canopy-2_RCC12"/>
      <sheetName val="Canopy-2_BBS2"/>
      <sheetName val="Canopy-1_RCC12"/>
      <sheetName val="Canopy-1_BBS2"/>
      <sheetName val="Above_terrace_columns_RCC2"/>
      <sheetName val="Above_terrace_columns_BBS2"/>
      <sheetName val="Parapet_wall_RCC2"/>
      <sheetName val="Parapet_wall_BBS2"/>
      <sheetName val="OHWT_RCC2"/>
      <sheetName val="OHWT_Slab_BBS2"/>
      <sheetName val="OHWT_Beams__BBS2"/>
      <sheetName val="Slab_&amp;_Beam_@_0_00_Lvl2"/>
      <sheetName val="Slab_&amp;_Beam2"/>
      <sheetName val="Lintels_&amp;_Window2"/>
      <sheetName val="Column_Steel_(UBF)2"/>
      <sheetName val="Column_Steel_(SF)2"/>
      <sheetName val="Column_Steel_(1F)2"/>
      <sheetName val="Column_Steel_(2F)2"/>
      <sheetName val="Column_Steel_(3F)2"/>
      <sheetName val="Column_Steel_(4F-6F)2"/>
      <sheetName val="Column_Steel_(7F-9F)2"/>
      <sheetName val="Column_Steel_(10F-12F)2"/>
      <sheetName val="Column_Steel_(13F-15F)2"/>
      <sheetName val="Column_Steel_(16F-17F)2"/>
      <sheetName val="Column_Steel_(18F)2"/>
      <sheetName val="Lift_Steel_(UBF)2"/>
      <sheetName val="Lift_Steel_(SF)2"/>
      <sheetName val="Lift_Steel_(1F-6F)2"/>
      <sheetName val="Lift_Steel_(7F-12F)2"/>
      <sheetName val="Lift_Steel_(13F-18F)2"/>
      <sheetName val="_Staircase_Steel_(UBF)2"/>
      <sheetName val="_Staircase_Steel_(SF)2"/>
      <sheetName val="_Staircase_Steel_(1F-7F)2"/>
      <sheetName val="_Staircase_Steel_(8F-18F)2"/>
      <sheetName val="Beams_Steel_(SF)2"/>
      <sheetName val="Slab_Steel_(SF)2"/>
      <sheetName val="Beams_Steel_(1F)2"/>
      <sheetName val="Slab_Steel_(1F)2"/>
      <sheetName val="Beams_Steel_(2F&amp;3F)2"/>
      <sheetName val="Slab_Steel_(2F&amp;3F)2"/>
      <sheetName val="Beams_Steel_(4F)2"/>
      <sheetName val="Slab_Steel_(4F)2"/>
      <sheetName val="Beams_Steel_(5F-7F)2"/>
      <sheetName val="Slab_Steel_(5F-7F)2"/>
      <sheetName val="Beams_Steel_(8F-15F&amp;18F)2"/>
      <sheetName val="Slab_Steel_(8F-15F&amp;18F)2"/>
      <sheetName val="Beams_Steel_(16F&amp;17F)2"/>
      <sheetName val="Slab_Steel_(16F&amp;17F)2"/>
      <sheetName val="Beams_Steel_(TF)2"/>
      <sheetName val="Slab_Steel_(TF)2"/>
      <sheetName val="100mm_Block_Work2"/>
      <sheetName val="150mm_BLOCKS2"/>
      <sheetName val="200mm_BLOCKS2"/>
      <sheetName val="Internal_Walls_Plastering2"/>
      <sheetName val="Internal_Ceiling_Plastering2"/>
      <sheetName val="External_plaster2"/>
      <sheetName val="Tower-_A_(Abstract)2"/>
      <sheetName val="Canopy-2_RCC3"/>
      <sheetName val="Canopy_-1_RCC2"/>
      <sheetName val="Canaopy-2_steel2"/>
      <sheetName val="Canopy-1_steel2"/>
      <sheetName val="Columns_above_terrace2"/>
      <sheetName val="OHT_bottom_&amp;_walls_2"/>
      <sheetName val="Slab_&amp;_Beam_at_0_00lvl2"/>
      <sheetName val="Slab_&amp;_Beam_at_+3_25lvl2"/>
      <sheetName val="Parapet_slab&amp;beams2"/>
      <sheetName val="Column_Steel(SF_to_TF)2"/>
      <sheetName val="Above_terrace_column_steel2"/>
      <sheetName val="Lift_Wall_-_Stilt_Floor2"/>
      <sheetName val="Lift_Wall_1F-6F2"/>
      <sheetName val="Lift_Wall_7F-12F2"/>
      <sheetName val="Lift_Wall_13F-18F2"/>
      <sheetName val="Lift_wall_terrace_floor2"/>
      <sheetName val="Staircase_-_UBF2"/>
      <sheetName val="Staircase_-_SF2"/>
      <sheetName val="Staircase_-_1F-7F2"/>
      <sheetName val="Staircase_-_8F-18F2"/>
      <sheetName val="Beam_Steel_-_SF2"/>
      <sheetName val="Slab_Steel_-_SF2"/>
      <sheetName val="Beam_Steel-_1F2"/>
      <sheetName val="Slab_Steel_-_1F2"/>
      <sheetName val="Beams_Steel_2F2"/>
      <sheetName val="Slab_steel_2F2"/>
      <sheetName val="Beams_Steel_3F2"/>
      <sheetName val="Slab_steel_3F2"/>
      <sheetName val="Beams_Steel_-_4F2"/>
      <sheetName val="Slab_steel_4F2"/>
      <sheetName val="Beam_steel_5F-7F2"/>
      <sheetName val="Slab_steel_5F-7F2"/>
      <sheetName val="Beam_steel_8F-15F_&amp;_18F2"/>
      <sheetName val="Slab_steel_8F-15F&amp;_18F2"/>
      <sheetName val="Beam_steel_16F_-_17F2"/>
      <sheetName val="Slab_steel_16F_-_17F2"/>
      <sheetName val="Beam_steel_TF2"/>
      <sheetName val="Slab_steel_TF2"/>
      <sheetName val="OHT_Slab_steel_2"/>
      <sheetName val="OHT_beam_steel_2"/>
      <sheetName val="A-_terrace_coping_BBS2"/>
      <sheetName val="Copping_beam_BBS_A_terrace2"/>
      <sheetName val="150_mm_BLOCKS2"/>
      <sheetName val="200_mm_BLOCKS2"/>
      <sheetName val="LIST_OF_MAKES2"/>
      <sheetName val="April_Analysts2"/>
      <sheetName val="Basic_Rate2"/>
      <sheetName val="Consumer_Fraud2"/>
      <sheetName val="Avoidance_2"/>
      <sheetName val="Cons_Recov_Rates2"/>
      <sheetName val="Consumer_Supps2"/>
      <sheetName val="Consumer_Outbound2"/>
      <sheetName val="FY_Loss_Frcst2"/>
      <sheetName val="footing_for_SP2"/>
      <sheetName val="AD_ST2"/>
      <sheetName val="Inc_St_-Link1"/>
      <sheetName val="Sales_&amp;_Prod"/>
      <sheetName val="Exim_FCL"/>
      <sheetName val="Civil_Works1"/>
      <sheetName val="August_TB1"/>
      <sheetName val="2000_MOR1"/>
      <sheetName val="Fx_DATA"/>
      <sheetName val="PRECAST_lightconc_II1"/>
      <sheetName val="Roof__PT_beams_1"/>
      <sheetName val="Client_Addressess_1"/>
      <sheetName val="Basic_Rates1"/>
      <sheetName val="SP_Break_Up1"/>
      <sheetName val="PMV_Data"/>
      <sheetName val="TORRENT_CEMENT"/>
      <sheetName val="02_10_06"/>
      <sheetName val="DATA_INPU_KN_(1)"/>
      <sheetName val="DATA_INPU_KN"/>
      <sheetName val="SPEC_SHEET"/>
      <sheetName val="cubes_M25_Nov-03"/>
      <sheetName val="GM_&amp;_TA"/>
      <sheetName val="ABS_Sec_C"/>
      <sheetName val="HR_&amp;_Admin"/>
      <sheetName val="Pile_cap"/>
      <sheetName val="Boq_(Main_Building)"/>
      <sheetName val="Annexue_B"/>
      <sheetName val="7_Other_Costs"/>
      <sheetName val="Staff_Acco_6"/>
      <sheetName val="activit-graph__"/>
      <sheetName val="Schedule_v1"/>
      <sheetName val="LOCAL_RATES"/>
      <sheetName val="2_Pardi"/>
      <sheetName val="Meas_-Tender"/>
      <sheetName val="Extra_item"/>
      <sheetName val="1_MPB_Conveyer_Pit"/>
      <sheetName val="2_Boiler_Pit"/>
      <sheetName val="3__SWRC"/>
      <sheetName val="Diaphragm_"/>
      <sheetName val="Pump_se"/>
      <sheetName val="Pump_seÑ"/>
      <sheetName val="Ellis_&amp;_WS&amp;S"/>
      <sheetName val="Drip_mould_&amp;_Elevation"/>
      <sheetName val="not_req_3"/>
      <sheetName val="Lead_statement_ss5"/>
      <sheetName val="MaterfÙG"/>
      <sheetName val="MRoad_data"/>
      <sheetName val="steam_outlet"/>
      <sheetName val="ETC_Plant_Cost"/>
      <sheetName val="P_C"/>
      <sheetName val="RAB_ABSTRACT-C&amp;B"/>
      <sheetName val="Water_supply__"/>
      <sheetName val="Nt_Item"/>
      <sheetName val="MB-Grade_Slab"/>
      <sheetName val="MB-Fdn&amp;RW_Ftgs_"/>
      <sheetName val="Weld_mesh"/>
      <sheetName val="MB-RCC-Col_&amp;Ped"/>
      <sheetName val="MB-Ped&amp;Col_-Shut_"/>
      <sheetName val="MB-RCC-Deck_Slab"/>
      <sheetName val="MB-Wall-Shut_"/>
      <sheetName val="MB-Others-Shut_"/>
      <sheetName val="MB-Footings_Shut"/>
      <sheetName val="MB-Block_Work"/>
      <sheetName val="MB-Insert_Plates"/>
      <sheetName val="Basic_Rate_Summary_Steel"/>
      <sheetName val="Basic_Rate_Summary_RMC"/>
      <sheetName val="Elec__Debit"/>
      <sheetName val="Physical_Check"/>
      <sheetName val="Man_Power"/>
      <sheetName val="BUILT UP BBM"/>
      <sheetName val="Background"/>
      <sheetName val="Sectors"/>
      <sheetName val="Assmpns"/>
      <sheetName val="PRL"/>
      <sheetName val="BOQ - Plaster"/>
      <sheetName val="BOQ - Gypsum"/>
      <sheetName val="BOQ - Waterproofing"/>
      <sheetName val="Podium Finishing"/>
      <sheetName val="Mezzanine Floor Beam"/>
      <sheetName val="Ground Floor Slab"/>
      <sheetName val="storm water1"/>
      <sheetName val="Col up to plinth"/>
      <sheetName val="Footing"/>
      <sheetName val="CASH-FLOW"/>
      <sheetName val="EEV(Prilim)"/>
      <sheetName val="(M+L)"/>
      <sheetName val="Dura Board"/>
      <sheetName val="Milestone Corr"/>
      <sheetName val="Staircase"/>
      <sheetName val="Plinth Beam "/>
      <sheetName val="Dtype-Civil"/>
      <sheetName val="Reinf Constants"/>
      <sheetName val="TPL-Ceiling_OB"/>
      <sheetName val="TPL-Ceiling_DH"/>
      <sheetName val="S1-DH+OB"/>
      <sheetName val="Room Data"/>
      <sheetName val="M1"/>
      <sheetName val="M2"/>
      <sheetName val="M3"/>
      <sheetName val="M4"/>
      <sheetName val="M5"/>
      <sheetName val="M6"/>
      <sheetName val="M7"/>
      <sheetName val="TPL-Room_OB"/>
      <sheetName val="TPL-Wall_OB_New"/>
      <sheetName val="TPL-Wall_DH_New"/>
      <sheetName val="IDCCALHYD_GOO"/>
      <sheetName val="SSR 2010-11 Rates"/>
      <sheetName val="mtc esti"/>
      <sheetName val="Road Detail Est."/>
      <sheetName val="title"/>
      <sheetName val="pier design"/>
      <sheetName val="ABS est"/>
      <sheetName val="細目"/>
      <sheetName val="Specification report"/>
      <sheetName val="MN__x0005_"/>
      <sheetName val="MN_ꮸ》_x0005_"/>
      <sheetName val="MN_ꮸ⾥_x0005_"/>
      <sheetName val="const_stat_exp_pipe"/>
      <sheetName val="abs_wirefencin"/>
      <sheetName val="abs_cartage_material"/>
      <sheetName val="state-protect"/>
      <sheetName val="detal_gravit"/>
      <sheetName val="RCC_clear"/>
      <sheetName val="abstra_quarter"/>
      <sheetName val="detail_room"/>
      <sheetName val="unit_barbedwire"/>
      <sheetName val="weight_pipe"/>
      <sheetName val="prjt"/>
      <sheetName val="Chamber on BW "/>
      <sheetName val="JACKWELL"/>
      <sheetName val="BASE_ALL"/>
      <sheetName val="72"/>
      <sheetName val="Schedule &quot;B&quot;"/>
      <sheetName val="CH-8"/>
      <sheetName val="DESBAST"/>
      <sheetName val="MN__x0005_???"/>
      <sheetName val="Part A"/>
      <sheetName val="AE Water Supply"/>
      <sheetName val="B A"/>
      <sheetName val="SUMP1420KL@HW"/>
      <sheetName val="table"/>
      <sheetName val="MG"/>
      <sheetName val="MERGED CODES &amp; NAMES"/>
      <sheetName val="TYPES"/>
      <sheetName val="MPC"/>
      <sheetName val="200205C"/>
      <sheetName val="SC Cost FEB 03"/>
      <sheetName val="SPILL OVER"/>
      <sheetName val="Abut Cap"/>
      <sheetName val="C.D.Abs.Est."/>
      <sheetName val="PM&amp;GM"/>
      <sheetName val="AV-DI"/>
      <sheetName val="AV-PVC"/>
      <sheetName val="DI gate-DI"/>
      <sheetName val="DIgate_PVC "/>
      <sheetName val="scour-DI-CI"/>
      <sheetName val="scour-pvc-hdpe-psc-bwsc"/>
      <sheetName val="zone-2"/>
      <sheetName val="Pop"/>
      <sheetName val="_5wgdhabfinal00_01"/>
      <sheetName val="͕"/>
      <sheetName val="͙"/>
      <sheetName val="Approved MTD Pro"/>
      <sheetName val="͖"/>
      <sheetName val="͘"/>
      <sheetName val="͞"/>
      <sheetName val="RA_05"/>
      <sheetName val="RFP002"/>
      <sheetName val="BTB"/>
      <sheetName val="cf"/>
      <sheetName val="orders"/>
      <sheetName val="Lease rents"/>
      <sheetName val="2.civil-RA"/>
      <sheetName val="매크로"/>
      <sheetName val="Exp"/>
      <sheetName val="Rev Fct"/>
      <sheetName val="fig to words"/>
      <sheetName val="tb 1-7 to 30-6"/>
      <sheetName val="tb 1-7 to 31-8"/>
      <sheetName val="1201"/>
      <sheetName val="As per PCA"/>
      <sheetName val="temp-SDData (2)"/>
      <sheetName val="labour-16-17"/>
      <sheetName val="Sheet4"/>
      <sheetName val="Summary of Rates(Civil)"/>
      <sheetName val="Resource Usage"/>
      <sheetName val="Basement 2 - Tower"/>
      <sheetName val="Staircase 1"/>
      <sheetName val="Ground - Tower"/>
      <sheetName val="abst-of -cost"/>
      <sheetName val="KQ Cost Controlling"/>
      <sheetName val="KQ Appropriation"/>
      <sheetName val="BLR 1"/>
      <sheetName val="GAS"/>
      <sheetName val="DEAE"/>
      <sheetName val="BLR2"/>
      <sheetName val="BLR3"/>
      <sheetName val="BLR4"/>
      <sheetName val="BLR5"/>
      <sheetName val="DEM"/>
      <sheetName val="SAM"/>
      <sheetName val="CHEM"/>
      <sheetName val="COP"/>
      <sheetName val="Estimation"/>
      <sheetName val="hist&amp;proj"/>
      <sheetName val="GF Columns"/>
      <sheetName val="fco"/>
      <sheetName val="galfareqp"/>
      <sheetName val="MARGIN"/>
      <sheetName val="feasi"/>
      <sheetName val="BOQ BBM"/>
      <sheetName val="switch"/>
      <sheetName val="SILICATE"/>
      <sheetName val="TRIAL BALANCE"/>
      <sheetName val="MAT cost"/>
      <sheetName val="12a. CFTable"/>
      <sheetName val="Control Panel"/>
      <sheetName val="Analisa &amp; Upah"/>
      <sheetName val="STD"/>
      <sheetName val="SAP DATA"/>
      <sheetName val="W SUMMERY"/>
      <sheetName val="MAIN DOOR ANALYSIS (ENGLISH)"/>
      <sheetName val="Final Rate Analysis "/>
      <sheetName val="Reference Information"/>
      <sheetName val="Misc. Data"/>
      <sheetName val="Employee List"/>
      <sheetName val="Sales Office"/>
      <sheetName val="p_m"/>
      <sheetName val="Drop Down List"/>
      <sheetName val="F4-F7"/>
      <sheetName val="BS1"/>
      <sheetName val="F1a-Pile"/>
      <sheetName val="RateAnalysis"/>
      <sheetName val="Basis"/>
      <sheetName val="Angebot18.7."/>
      <sheetName val="Summary output"/>
      <sheetName val="ASS"/>
      <sheetName val="Cas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grid"/>
      <sheetName val="CFLOW"/>
      <sheetName val="CASH CONTRACTS"/>
      <sheetName val="Contract Night Staff"/>
      <sheetName val="Contract Day Staff"/>
      <sheetName val="Day Shift"/>
      <sheetName val="Night Shift"/>
      <sheetName val="Rocker"/>
      <sheetName val="opd"/>
      <sheetName val="t_prsr"/>
      <sheetName val="Mesurement"/>
      <sheetName val="carting"/>
      <sheetName val="Gen Info"/>
      <sheetName val="1V800"/>
      <sheetName val="ABS1"/>
      <sheetName val="Inputs"/>
      <sheetName val="FS-BOREWELL"/>
      <sheetName val="FS-KKC-EST"/>
      <sheetName val="FS-VBC-EST"/>
      <sheetName val="電気設備表"/>
      <sheetName val="Basic Resources"/>
      <sheetName val="PIPES BASIC RATES"/>
      <sheetName val="BASIC DATA"/>
      <sheetName val="BACK BONE"/>
      <sheetName val="CD data"/>
      <sheetName val="RMR "/>
      <sheetName val="MN__x0005____"/>
      <sheetName val="Fin. Assumpt. - Sensitivities"/>
      <sheetName val="Bill 3 - Site Works"/>
      <sheetName val="Key Ratios"/>
      <sheetName val="AEC (Main)"/>
      <sheetName val="Combined Results "/>
      <sheetName val="3"/>
      <sheetName val="Admin"/>
      <sheetName val="4K - (6a) Non Manual Breakdown"/>
      <sheetName val="Labour List"/>
      <sheetName val="SOA"/>
      <sheetName val="Podium Areas"/>
      <sheetName val="L4-L15"/>
      <sheetName val="Flat Info _EVEN"/>
      <sheetName val="Flat Info _ODD"/>
      <sheetName val="Door"/>
      <sheetName val="FIN_SCHEDULE"/>
      <sheetName val="std-rates"/>
      <sheetName val="cost Sft Labour"/>
      <sheetName val="SB_SCH_A3"/>
      <sheetName val="SB SCH_A7"/>
      <sheetName val="Supply_RM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52">
          <cell r="B52" t="str">
            <v>Main Panel</v>
          </cell>
        </row>
      </sheetData>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ow r="52">
          <cell r="B52" t="str">
            <v>Main Panel</v>
          </cell>
        </row>
      </sheetData>
      <sheetData sheetId="187" refreshError="1"/>
      <sheetData sheetId="188" refreshError="1"/>
      <sheetData sheetId="189" refreshError="1"/>
      <sheetData sheetId="190" refreshError="1"/>
      <sheetData sheetId="191" refreshError="1"/>
      <sheetData sheetId="192" refreshError="1"/>
      <sheetData sheetId="193" refreshError="1"/>
      <sheetData sheetId="194">
        <row r="52">
          <cell r="B52" t="str">
            <v>Main Panel</v>
          </cell>
        </row>
      </sheetData>
      <sheetData sheetId="195">
        <row r="52">
          <cell r="B52" t="str">
            <v>Main Panel</v>
          </cell>
        </row>
      </sheetData>
      <sheetData sheetId="196"/>
      <sheetData sheetId="197">
        <row r="52">
          <cell r="B52" t="str">
            <v>Main Panel</v>
          </cell>
        </row>
      </sheetData>
      <sheetData sheetId="198">
        <row r="52">
          <cell r="B52" t="str">
            <v>Main Panel</v>
          </cell>
        </row>
      </sheetData>
      <sheetData sheetId="199">
        <row r="52">
          <cell r="B52" t="str">
            <v>Main Panel</v>
          </cell>
        </row>
      </sheetData>
      <sheetData sheetId="200">
        <row r="52">
          <cell r="B52" t="str">
            <v>Main Panel</v>
          </cell>
        </row>
      </sheetData>
      <sheetData sheetId="201">
        <row r="52">
          <cell r="B52" t="str">
            <v>Main Panel</v>
          </cell>
        </row>
      </sheetData>
      <sheetData sheetId="202">
        <row r="52">
          <cell r="B52" t="str">
            <v>Main Panel</v>
          </cell>
        </row>
      </sheetData>
      <sheetData sheetId="203">
        <row r="52">
          <cell r="B52" t="str">
            <v>Main Panel</v>
          </cell>
        </row>
      </sheetData>
      <sheetData sheetId="204">
        <row r="52">
          <cell r="B52" t="str">
            <v>Main Panel</v>
          </cell>
        </row>
      </sheetData>
      <sheetData sheetId="205">
        <row r="52">
          <cell r="B52" t="str">
            <v>Main Panel</v>
          </cell>
        </row>
      </sheetData>
      <sheetData sheetId="206">
        <row r="52">
          <cell r="B52" t="str">
            <v>Main Panel</v>
          </cell>
        </row>
      </sheetData>
      <sheetData sheetId="207">
        <row r="52">
          <cell r="B52" t="str">
            <v>Main Panel</v>
          </cell>
        </row>
      </sheetData>
      <sheetData sheetId="208">
        <row r="52">
          <cell r="B52" t="str">
            <v>Main Panel</v>
          </cell>
        </row>
      </sheetData>
      <sheetData sheetId="209">
        <row r="52">
          <cell r="B52" t="str">
            <v>Main Panel</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sheetData sheetId="251" refreshError="1"/>
      <sheetData sheetId="252" refreshError="1"/>
      <sheetData sheetId="253"/>
      <sheetData sheetId="254"/>
      <sheetData sheetId="255"/>
      <sheetData sheetId="256"/>
      <sheetData sheetId="257"/>
      <sheetData sheetId="258">
        <row r="52">
          <cell r="B52" t="str">
            <v>Main Panel</v>
          </cell>
        </row>
      </sheetData>
      <sheetData sheetId="259"/>
      <sheetData sheetId="260"/>
      <sheetData sheetId="261">
        <row r="52">
          <cell r="B52" t="str">
            <v>Main Panel</v>
          </cell>
        </row>
      </sheetData>
      <sheetData sheetId="262"/>
      <sheetData sheetId="263"/>
      <sheetData sheetId="264">
        <row r="52">
          <cell r="B52" t="str">
            <v>Main Panel</v>
          </cell>
        </row>
      </sheetData>
      <sheetData sheetId="265">
        <row r="52">
          <cell r="B52" t="str">
            <v>Main Panel</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ow r="52">
          <cell r="B52" t="str">
            <v>Main Panel</v>
          </cell>
        </row>
      </sheetData>
      <sheetData sheetId="280"/>
      <sheetData sheetId="281"/>
      <sheetData sheetId="282"/>
      <sheetData sheetId="283"/>
      <sheetData sheetId="284"/>
      <sheetData sheetId="285"/>
      <sheetData sheetId="286" refreshError="1"/>
      <sheetData sheetId="287" refreshError="1"/>
      <sheetData sheetId="288" refreshError="1"/>
      <sheetData sheetId="289"/>
      <sheetData sheetId="290"/>
      <sheetData sheetId="291" refreshError="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ow r="52">
          <cell r="B52" t="str">
            <v>Main Panel</v>
          </cell>
        </row>
      </sheetData>
      <sheetData sheetId="618">
        <row r="52">
          <cell r="B52" t="str">
            <v>Main Panel</v>
          </cell>
        </row>
      </sheetData>
      <sheetData sheetId="619">
        <row r="52">
          <cell r="B52" t="str">
            <v>Main Panel</v>
          </cell>
        </row>
      </sheetData>
      <sheetData sheetId="620">
        <row r="52">
          <cell r="B52" t="str">
            <v>Main Panel</v>
          </cell>
        </row>
      </sheetData>
      <sheetData sheetId="621">
        <row r="52">
          <cell r="B52" t="str">
            <v>Main Panel</v>
          </cell>
        </row>
      </sheetData>
      <sheetData sheetId="622">
        <row r="52">
          <cell r="B52" t="str">
            <v>Main Panel</v>
          </cell>
        </row>
      </sheetData>
      <sheetData sheetId="623">
        <row r="52">
          <cell r="B52" t="str">
            <v>Main Panel</v>
          </cell>
        </row>
      </sheetData>
      <sheetData sheetId="624">
        <row r="52">
          <cell r="B52" t="str">
            <v>Main Panel</v>
          </cell>
        </row>
      </sheetData>
      <sheetData sheetId="625">
        <row r="52">
          <cell r="B52" t="str">
            <v>Main Panel</v>
          </cell>
        </row>
      </sheetData>
      <sheetData sheetId="626">
        <row r="52">
          <cell r="B52" t="str">
            <v>Main Panel</v>
          </cell>
        </row>
      </sheetData>
      <sheetData sheetId="627">
        <row r="52">
          <cell r="B52" t="str">
            <v>Main Panel</v>
          </cell>
        </row>
      </sheetData>
      <sheetData sheetId="628">
        <row r="52">
          <cell r="B52" t="str">
            <v>Main Panel</v>
          </cell>
        </row>
      </sheetData>
      <sheetData sheetId="629">
        <row r="52">
          <cell r="B52" t="str">
            <v>Main Panel</v>
          </cell>
        </row>
      </sheetData>
      <sheetData sheetId="630">
        <row r="52">
          <cell r="B52" t="str">
            <v>Main Panel</v>
          </cell>
        </row>
      </sheetData>
      <sheetData sheetId="631">
        <row r="52">
          <cell r="B52" t="str">
            <v>Main Panel</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ow r="52">
          <cell r="B52" t="str">
            <v>Main Panel</v>
          </cell>
        </row>
      </sheetData>
      <sheetData sheetId="692">
        <row r="52">
          <cell r="B52" t="str">
            <v>Main Panel</v>
          </cell>
        </row>
      </sheetData>
      <sheetData sheetId="693">
        <row r="52">
          <cell r="B52" t="str">
            <v>Main Panel</v>
          </cell>
        </row>
      </sheetData>
      <sheetData sheetId="694">
        <row r="52">
          <cell r="B52" t="str">
            <v>Main Panel</v>
          </cell>
        </row>
      </sheetData>
      <sheetData sheetId="695">
        <row r="52">
          <cell r="B52" t="str">
            <v>Main Panel</v>
          </cell>
        </row>
      </sheetData>
      <sheetData sheetId="696">
        <row r="52">
          <cell r="B52" t="str">
            <v>Main Panel</v>
          </cell>
        </row>
      </sheetData>
      <sheetData sheetId="697">
        <row r="52">
          <cell r="B52" t="str">
            <v>Main Panel</v>
          </cell>
        </row>
      </sheetData>
      <sheetData sheetId="698">
        <row r="52">
          <cell r="B52" t="str">
            <v>Main Panel</v>
          </cell>
        </row>
      </sheetData>
      <sheetData sheetId="699">
        <row r="52">
          <cell r="B52" t="str">
            <v>Main Panel</v>
          </cell>
        </row>
      </sheetData>
      <sheetData sheetId="700">
        <row r="52">
          <cell r="B52" t="str">
            <v>Main Panel</v>
          </cell>
        </row>
      </sheetData>
      <sheetData sheetId="701">
        <row r="52">
          <cell r="B52" t="str">
            <v>Main Panel</v>
          </cell>
        </row>
      </sheetData>
      <sheetData sheetId="702">
        <row r="52">
          <cell r="B52" t="str">
            <v>Main Panel</v>
          </cell>
        </row>
      </sheetData>
      <sheetData sheetId="703">
        <row r="52">
          <cell r="B52" t="str">
            <v>Main Panel</v>
          </cell>
        </row>
      </sheetData>
      <sheetData sheetId="704">
        <row r="52">
          <cell r="B52" t="str">
            <v>Main Panel</v>
          </cell>
        </row>
      </sheetData>
      <sheetData sheetId="705">
        <row r="52">
          <cell r="B52" t="str">
            <v>Main Panel</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52">
          <cell r="B52" t="str">
            <v>Main Panel</v>
          </cell>
        </row>
      </sheetData>
      <sheetData sheetId="715">
        <row r="52">
          <cell r="B52" t="str">
            <v>Main Panel</v>
          </cell>
        </row>
      </sheetData>
      <sheetData sheetId="716">
        <row r="52">
          <cell r="B52" t="str">
            <v>Main Panel</v>
          </cell>
        </row>
      </sheetData>
      <sheetData sheetId="717">
        <row r="52">
          <cell r="B52" t="str">
            <v>Main Panel</v>
          </cell>
        </row>
      </sheetData>
      <sheetData sheetId="718">
        <row r="52">
          <cell r="B52" t="str">
            <v>Main Panel</v>
          </cell>
        </row>
      </sheetData>
      <sheetData sheetId="719">
        <row r="52">
          <cell r="B52" t="str">
            <v>Main Panel</v>
          </cell>
        </row>
      </sheetData>
      <sheetData sheetId="720">
        <row r="52">
          <cell r="B52" t="str">
            <v>Main Panel</v>
          </cell>
        </row>
      </sheetData>
      <sheetData sheetId="721">
        <row r="52">
          <cell r="B52" t="str">
            <v>Main Panel</v>
          </cell>
        </row>
      </sheetData>
      <sheetData sheetId="722">
        <row r="52">
          <cell r="B52" t="str">
            <v>Main Panel</v>
          </cell>
        </row>
      </sheetData>
      <sheetData sheetId="723">
        <row r="52">
          <cell r="B52" t="str">
            <v>Main Panel</v>
          </cell>
        </row>
      </sheetData>
      <sheetData sheetId="724" refreshError="1"/>
      <sheetData sheetId="725" refreshError="1"/>
      <sheetData sheetId="726">
        <row r="52">
          <cell r="B52" t="str">
            <v>Main Panel</v>
          </cell>
        </row>
      </sheetData>
      <sheetData sheetId="727">
        <row r="52">
          <cell r="B52" t="str">
            <v>Main Panel</v>
          </cell>
        </row>
      </sheetData>
      <sheetData sheetId="728">
        <row r="52">
          <cell r="B52" t="str">
            <v>Main Panel</v>
          </cell>
        </row>
      </sheetData>
      <sheetData sheetId="729">
        <row r="52">
          <cell r="B52" t="str">
            <v>Main Panel</v>
          </cell>
        </row>
      </sheetData>
      <sheetData sheetId="730">
        <row r="52">
          <cell r="B52" t="str">
            <v>Main Panel</v>
          </cell>
        </row>
      </sheetData>
      <sheetData sheetId="731" refreshError="1"/>
      <sheetData sheetId="732">
        <row r="52">
          <cell r="B52" t="str">
            <v>Main Panel</v>
          </cell>
        </row>
      </sheetData>
      <sheetData sheetId="733">
        <row r="52">
          <cell r="B52" t="str">
            <v>Main Panel</v>
          </cell>
        </row>
      </sheetData>
      <sheetData sheetId="734">
        <row r="52">
          <cell r="B52" t="str">
            <v>Main Panel</v>
          </cell>
        </row>
      </sheetData>
      <sheetData sheetId="735">
        <row r="52">
          <cell r="B52" t="str">
            <v>Main Panel</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52">
          <cell r="B52" t="str">
            <v>Main Panel</v>
          </cell>
        </row>
      </sheetData>
      <sheetData sheetId="752">
        <row r="52">
          <cell r="B52" t="str">
            <v>Main Panel</v>
          </cell>
        </row>
      </sheetData>
      <sheetData sheetId="753">
        <row r="52">
          <cell r="B52" t="str">
            <v>Main Panel</v>
          </cell>
        </row>
      </sheetData>
      <sheetData sheetId="754">
        <row r="52">
          <cell r="B52" t="str">
            <v>Main Panel</v>
          </cell>
        </row>
      </sheetData>
      <sheetData sheetId="755">
        <row r="52">
          <cell r="B52" t="str">
            <v>Main Panel</v>
          </cell>
        </row>
      </sheetData>
      <sheetData sheetId="756">
        <row r="52">
          <cell r="B52" t="str">
            <v>Main Panel</v>
          </cell>
        </row>
      </sheetData>
      <sheetData sheetId="757">
        <row r="52">
          <cell r="B52" t="str">
            <v>Main Panel</v>
          </cell>
        </row>
      </sheetData>
      <sheetData sheetId="758">
        <row r="52">
          <cell r="B52" t="str">
            <v>Main Panel</v>
          </cell>
        </row>
      </sheetData>
      <sheetData sheetId="759">
        <row r="52">
          <cell r="B52" t="str">
            <v>Main Panel</v>
          </cell>
        </row>
      </sheetData>
      <sheetData sheetId="760">
        <row r="52">
          <cell r="B52" t="str">
            <v>Main Panel</v>
          </cell>
        </row>
      </sheetData>
      <sheetData sheetId="761">
        <row r="52">
          <cell r="B52" t="str">
            <v>Main Panel</v>
          </cell>
        </row>
      </sheetData>
      <sheetData sheetId="762" refreshError="1"/>
      <sheetData sheetId="763" refreshError="1"/>
      <sheetData sheetId="764" refreshError="1"/>
      <sheetData sheetId="765">
        <row r="52">
          <cell r="B52" t="str">
            <v>Main Panel</v>
          </cell>
        </row>
      </sheetData>
      <sheetData sheetId="766" refreshError="1"/>
      <sheetData sheetId="767">
        <row r="52">
          <cell r="B52" t="str">
            <v>Main Panel</v>
          </cell>
        </row>
      </sheetData>
      <sheetData sheetId="768">
        <row r="52">
          <cell r="B52" t="str">
            <v>Main Panel</v>
          </cell>
        </row>
      </sheetData>
      <sheetData sheetId="769">
        <row r="52">
          <cell r="B52" t="str">
            <v>Main Panel</v>
          </cell>
        </row>
      </sheetData>
      <sheetData sheetId="770">
        <row r="52">
          <cell r="B52" t="str">
            <v>Main Panel</v>
          </cell>
        </row>
      </sheetData>
      <sheetData sheetId="771">
        <row r="52">
          <cell r="B52" t="str">
            <v>Main Panel</v>
          </cell>
        </row>
      </sheetData>
      <sheetData sheetId="772">
        <row r="52">
          <cell r="B52" t="str">
            <v>Main Panel</v>
          </cell>
        </row>
      </sheetData>
      <sheetData sheetId="773">
        <row r="52">
          <cell r="B52" t="str">
            <v>Main Panel</v>
          </cell>
        </row>
      </sheetData>
      <sheetData sheetId="774">
        <row r="52">
          <cell r="B52" t="str">
            <v>Main Panel</v>
          </cell>
        </row>
      </sheetData>
      <sheetData sheetId="775" refreshError="1"/>
      <sheetData sheetId="776" refreshError="1"/>
      <sheetData sheetId="777" refreshError="1"/>
      <sheetData sheetId="778" refreshError="1"/>
      <sheetData sheetId="779" refreshError="1"/>
      <sheetData sheetId="780">
        <row r="52">
          <cell r="B52" t="str">
            <v>Main Panel</v>
          </cell>
        </row>
      </sheetData>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ow r="52">
          <cell r="B52" t="str">
            <v>Main Panel</v>
          </cell>
        </row>
      </sheetData>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52">
          <cell r="B52" t="str">
            <v>Main Panel</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ow r="52">
          <cell r="B52" t="str">
            <v>Main Panel</v>
          </cell>
        </row>
      </sheetData>
      <sheetData sheetId="846">
        <row r="52">
          <cell r="B52" t="str">
            <v>Main Panel</v>
          </cell>
        </row>
      </sheetData>
      <sheetData sheetId="847">
        <row r="52">
          <cell r="B52" t="str">
            <v>Main Panel</v>
          </cell>
        </row>
      </sheetData>
      <sheetData sheetId="848">
        <row r="52">
          <cell r="B52" t="str">
            <v>Main Panel</v>
          </cell>
        </row>
      </sheetData>
      <sheetData sheetId="849">
        <row r="52">
          <cell r="B52" t="str">
            <v>Main Panel</v>
          </cell>
        </row>
      </sheetData>
      <sheetData sheetId="850">
        <row r="52">
          <cell r="B52" t="str">
            <v>Main Panel</v>
          </cell>
        </row>
      </sheetData>
      <sheetData sheetId="851">
        <row r="52">
          <cell r="B52" t="str">
            <v>Main Panel</v>
          </cell>
        </row>
      </sheetData>
      <sheetData sheetId="852">
        <row r="52">
          <cell r="B52" t="str">
            <v>Main Panel</v>
          </cell>
        </row>
      </sheetData>
      <sheetData sheetId="853">
        <row r="52">
          <cell r="B52" t="str">
            <v>Main Panel</v>
          </cell>
        </row>
      </sheetData>
      <sheetData sheetId="854">
        <row r="52">
          <cell r="B52" t="str">
            <v>Main Panel</v>
          </cell>
        </row>
      </sheetData>
      <sheetData sheetId="855">
        <row r="52">
          <cell r="B52" t="str">
            <v>Main Panel</v>
          </cell>
        </row>
      </sheetData>
      <sheetData sheetId="856">
        <row r="52">
          <cell r="B52" t="str">
            <v>Main Panel</v>
          </cell>
        </row>
      </sheetData>
      <sheetData sheetId="857">
        <row r="52">
          <cell r="B52" t="str">
            <v>Main Panel</v>
          </cell>
        </row>
      </sheetData>
      <sheetData sheetId="858">
        <row r="52">
          <cell r="B52" t="str">
            <v>Main Panel</v>
          </cell>
        </row>
      </sheetData>
      <sheetData sheetId="859">
        <row r="52">
          <cell r="B52" t="str">
            <v>Main Panel</v>
          </cell>
        </row>
      </sheetData>
      <sheetData sheetId="860">
        <row r="52">
          <cell r="B52" t="str">
            <v>Main Panel</v>
          </cell>
        </row>
      </sheetData>
      <sheetData sheetId="861">
        <row r="52">
          <cell r="B52" t="str">
            <v>Main Panel</v>
          </cell>
        </row>
      </sheetData>
      <sheetData sheetId="862">
        <row r="52">
          <cell r="B52" t="str">
            <v>Main Panel</v>
          </cell>
        </row>
      </sheetData>
      <sheetData sheetId="863">
        <row r="52">
          <cell r="B52" t="str">
            <v>Main Panel</v>
          </cell>
        </row>
      </sheetData>
      <sheetData sheetId="864">
        <row r="52">
          <cell r="B52" t="str">
            <v>Main Panel</v>
          </cell>
        </row>
      </sheetData>
      <sheetData sheetId="865">
        <row r="52">
          <cell r="B52" t="str">
            <v>Main Panel</v>
          </cell>
        </row>
      </sheetData>
      <sheetData sheetId="866">
        <row r="52">
          <cell r="B52" t="str">
            <v>Main Panel</v>
          </cell>
        </row>
      </sheetData>
      <sheetData sheetId="867">
        <row r="52">
          <cell r="B52" t="str">
            <v>Main Panel</v>
          </cell>
        </row>
      </sheetData>
      <sheetData sheetId="868">
        <row r="52">
          <cell r="B52" t="str">
            <v>Main Panel</v>
          </cell>
        </row>
      </sheetData>
      <sheetData sheetId="869">
        <row r="52">
          <cell r="B52" t="str">
            <v>Main Panel</v>
          </cell>
        </row>
      </sheetData>
      <sheetData sheetId="870">
        <row r="52">
          <cell r="B52" t="str">
            <v>Main Panel</v>
          </cell>
        </row>
      </sheetData>
      <sheetData sheetId="871">
        <row r="52">
          <cell r="B52" t="str">
            <v>Main Panel</v>
          </cell>
        </row>
      </sheetData>
      <sheetData sheetId="872">
        <row r="52">
          <cell r="B52" t="str">
            <v>Main Panel</v>
          </cell>
        </row>
      </sheetData>
      <sheetData sheetId="873">
        <row r="52">
          <cell r="B52" t="str">
            <v>Main Panel</v>
          </cell>
        </row>
      </sheetData>
      <sheetData sheetId="874">
        <row r="52">
          <cell r="B52" t="str">
            <v>Main Panel</v>
          </cell>
        </row>
      </sheetData>
      <sheetData sheetId="875">
        <row r="52">
          <cell r="B52" t="str">
            <v>Main Panel</v>
          </cell>
        </row>
      </sheetData>
      <sheetData sheetId="876">
        <row r="52">
          <cell r="B52" t="str">
            <v>Main Panel</v>
          </cell>
        </row>
      </sheetData>
      <sheetData sheetId="877">
        <row r="52">
          <cell r="B52" t="str">
            <v>Main Panel</v>
          </cell>
        </row>
      </sheetData>
      <sheetData sheetId="878">
        <row r="52">
          <cell r="B52" t="str">
            <v>Main Panel</v>
          </cell>
        </row>
      </sheetData>
      <sheetData sheetId="879">
        <row r="52">
          <cell r="B52" t="str">
            <v>Main Panel</v>
          </cell>
        </row>
      </sheetData>
      <sheetData sheetId="880">
        <row r="52">
          <cell r="B52" t="str">
            <v>Main Panel</v>
          </cell>
        </row>
      </sheetData>
      <sheetData sheetId="881">
        <row r="52">
          <cell r="B52" t="str">
            <v>Main Panel</v>
          </cell>
        </row>
      </sheetData>
      <sheetData sheetId="882">
        <row r="52">
          <cell r="B52" t="str">
            <v>Main Panel</v>
          </cell>
        </row>
      </sheetData>
      <sheetData sheetId="883">
        <row r="52">
          <cell r="B52" t="str">
            <v>Main Panel</v>
          </cell>
        </row>
      </sheetData>
      <sheetData sheetId="884">
        <row r="52">
          <cell r="B52" t="str">
            <v>Main Panel</v>
          </cell>
        </row>
      </sheetData>
      <sheetData sheetId="885">
        <row r="52">
          <cell r="B52" t="str">
            <v>Main Panel</v>
          </cell>
        </row>
      </sheetData>
      <sheetData sheetId="886">
        <row r="52">
          <cell r="B52" t="str">
            <v>Main Panel</v>
          </cell>
        </row>
      </sheetData>
      <sheetData sheetId="887">
        <row r="52">
          <cell r="B52" t="str">
            <v>Main Panel</v>
          </cell>
        </row>
      </sheetData>
      <sheetData sheetId="888">
        <row r="52">
          <cell r="B52" t="str">
            <v>Main Panel</v>
          </cell>
        </row>
      </sheetData>
      <sheetData sheetId="889">
        <row r="52">
          <cell r="B52" t="str">
            <v>Main Panel</v>
          </cell>
        </row>
      </sheetData>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ow r="52">
          <cell r="B52" t="str">
            <v>Main Panel</v>
          </cell>
        </row>
      </sheetData>
      <sheetData sheetId="899" refreshError="1"/>
      <sheetData sheetId="900" refreshError="1"/>
      <sheetData sheetId="901" refreshError="1"/>
      <sheetData sheetId="902">
        <row r="52">
          <cell r="B52" t="str">
            <v>Main Panel</v>
          </cell>
        </row>
      </sheetData>
      <sheetData sheetId="903">
        <row r="52">
          <cell r="B52" t="str">
            <v>Main Panel</v>
          </cell>
        </row>
      </sheetData>
      <sheetData sheetId="904">
        <row r="52">
          <cell r="B52" t="str">
            <v>Main Panel</v>
          </cell>
        </row>
      </sheetData>
      <sheetData sheetId="905">
        <row r="52">
          <cell r="B52" t="str">
            <v>Main Panel</v>
          </cell>
        </row>
      </sheetData>
      <sheetData sheetId="906">
        <row r="52">
          <cell r="B52" t="str">
            <v>Main Panel</v>
          </cell>
        </row>
      </sheetData>
      <sheetData sheetId="907" refreshError="1"/>
      <sheetData sheetId="908">
        <row r="52">
          <cell r="B52" t="str">
            <v>Main Panel</v>
          </cell>
        </row>
      </sheetData>
      <sheetData sheetId="909">
        <row r="52">
          <cell r="B52" t="str">
            <v>Main Panel</v>
          </cell>
        </row>
      </sheetData>
      <sheetData sheetId="910">
        <row r="52">
          <cell r="B52" t="str">
            <v>Main Panel</v>
          </cell>
        </row>
      </sheetData>
      <sheetData sheetId="911">
        <row r="52">
          <cell r="B52" t="str">
            <v>Main Panel</v>
          </cell>
        </row>
      </sheetData>
      <sheetData sheetId="912">
        <row r="52">
          <cell r="B52" t="str">
            <v>Main Panel</v>
          </cell>
        </row>
      </sheetData>
      <sheetData sheetId="913">
        <row r="52">
          <cell r="B52" t="str">
            <v>Main Panel</v>
          </cell>
        </row>
      </sheetData>
      <sheetData sheetId="914">
        <row r="52">
          <cell r="B52" t="str">
            <v>Main Panel</v>
          </cell>
        </row>
      </sheetData>
      <sheetData sheetId="915">
        <row r="52">
          <cell r="B52" t="str">
            <v>Main Panel</v>
          </cell>
        </row>
      </sheetData>
      <sheetData sheetId="916">
        <row r="52">
          <cell r="B52" t="str">
            <v>Main Panel</v>
          </cell>
        </row>
      </sheetData>
      <sheetData sheetId="917">
        <row r="52">
          <cell r="B52" t="str">
            <v>Main Panel</v>
          </cell>
        </row>
      </sheetData>
      <sheetData sheetId="918">
        <row r="52">
          <cell r="B52" t="str">
            <v>Main Panel</v>
          </cell>
        </row>
      </sheetData>
      <sheetData sheetId="919">
        <row r="52">
          <cell r="B52" t="str">
            <v>Main Panel</v>
          </cell>
        </row>
      </sheetData>
      <sheetData sheetId="920">
        <row r="52">
          <cell r="B52" t="str">
            <v>Main Panel</v>
          </cell>
        </row>
      </sheetData>
      <sheetData sheetId="921">
        <row r="52">
          <cell r="B52" t="str">
            <v>Main Panel</v>
          </cell>
        </row>
      </sheetData>
      <sheetData sheetId="922">
        <row r="52">
          <cell r="B52" t="str">
            <v>Main Panel</v>
          </cell>
        </row>
      </sheetData>
      <sheetData sheetId="923">
        <row r="52">
          <cell r="B52" t="str">
            <v>Main Panel</v>
          </cell>
        </row>
      </sheetData>
      <sheetData sheetId="924">
        <row r="52">
          <cell r="B52" t="str">
            <v>Main Panel</v>
          </cell>
        </row>
      </sheetData>
      <sheetData sheetId="925">
        <row r="52">
          <cell r="B52" t="str">
            <v>Main Panel</v>
          </cell>
        </row>
      </sheetData>
      <sheetData sheetId="926">
        <row r="52">
          <cell r="B52" t="str">
            <v>Main Panel</v>
          </cell>
        </row>
      </sheetData>
      <sheetData sheetId="927">
        <row r="52">
          <cell r="B52" t="str">
            <v>Main Panel</v>
          </cell>
        </row>
      </sheetData>
      <sheetData sheetId="928">
        <row r="52">
          <cell r="B52" t="str">
            <v>Main Panel</v>
          </cell>
        </row>
      </sheetData>
      <sheetData sheetId="929">
        <row r="52">
          <cell r="B52" t="str">
            <v>Main Panel</v>
          </cell>
        </row>
      </sheetData>
      <sheetData sheetId="930">
        <row r="52">
          <cell r="B52" t="str">
            <v>Main Panel</v>
          </cell>
        </row>
      </sheetData>
      <sheetData sheetId="931">
        <row r="52">
          <cell r="B52" t="str">
            <v>Main Panel</v>
          </cell>
        </row>
      </sheetData>
      <sheetData sheetId="932">
        <row r="52">
          <cell r="B52" t="str">
            <v>Main Panel</v>
          </cell>
        </row>
      </sheetData>
      <sheetData sheetId="933">
        <row r="52">
          <cell r="B52" t="str">
            <v>Main Panel</v>
          </cell>
        </row>
      </sheetData>
      <sheetData sheetId="934">
        <row r="52">
          <cell r="B52" t="str">
            <v>Main Panel</v>
          </cell>
        </row>
      </sheetData>
      <sheetData sheetId="935">
        <row r="52">
          <cell r="B52" t="str">
            <v>Main Panel</v>
          </cell>
        </row>
      </sheetData>
      <sheetData sheetId="936">
        <row r="52">
          <cell r="B52" t="str">
            <v>Main Panel</v>
          </cell>
        </row>
      </sheetData>
      <sheetData sheetId="937">
        <row r="52">
          <cell r="B52" t="str">
            <v>Main Panel</v>
          </cell>
        </row>
      </sheetData>
      <sheetData sheetId="938">
        <row r="52">
          <cell r="B52" t="str">
            <v>Main Panel</v>
          </cell>
        </row>
      </sheetData>
      <sheetData sheetId="939">
        <row r="52">
          <cell r="B52" t="str">
            <v>Main Panel</v>
          </cell>
        </row>
      </sheetData>
      <sheetData sheetId="940">
        <row r="52">
          <cell r="B52" t="str">
            <v>Main Panel</v>
          </cell>
        </row>
      </sheetData>
      <sheetData sheetId="941">
        <row r="52">
          <cell r="B52" t="str">
            <v>Main Panel</v>
          </cell>
        </row>
      </sheetData>
      <sheetData sheetId="942">
        <row r="52">
          <cell r="B52" t="str">
            <v>Main Panel</v>
          </cell>
        </row>
      </sheetData>
      <sheetData sheetId="943">
        <row r="52">
          <cell r="B52" t="str">
            <v>Main Panel</v>
          </cell>
        </row>
      </sheetData>
      <sheetData sheetId="944">
        <row r="52">
          <cell r="B52" t="str">
            <v>Main Panel</v>
          </cell>
        </row>
      </sheetData>
      <sheetData sheetId="945">
        <row r="52">
          <cell r="B52" t="str">
            <v>Main Panel</v>
          </cell>
        </row>
      </sheetData>
      <sheetData sheetId="946">
        <row r="52">
          <cell r="B52" t="str">
            <v>Main Panel</v>
          </cell>
        </row>
      </sheetData>
      <sheetData sheetId="947">
        <row r="52">
          <cell r="B52" t="str">
            <v>Main Panel</v>
          </cell>
        </row>
      </sheetData>
      <sheetData sheetId="948">
        <row r="52">
          <cell r="B52" t="str">
            <v>Main Panel</v>
          </cell>
        </row>
      </sheetData>
      <sheetData sheetId="949">
        <row r="52">
          <cell r="B52" t="str">
            <v>Main Panel</v>
          </cell>
        </row>
      </sheetData>
      <sheetData sheetId="950">
        <row r="52">
          <cell r="B52" t="str">
            <v>Main Panel</v>
          </cell>
        </row>
      </sheetData>
      <sheetData sheetId="951">
        <row r="52">
          <cell r="B52" t="str">
            <v>Main Panel</v>
          </cell>
        </row>
      </sheetData>
      <sheetData sheetId="952">
        <row r="52">
          <cell r="B52" t="str">
            <v>Main Panel</v>
          </cell>
        </row>
      </sheetData>
      <sheetData sheetId="953">
        <row r="52">
          <cell r="B52" t="str">
            <v>Main Panel</v>
          </cell>
        </row>
      </sheetData>
      <sheetData sheetId="954">
        <row r="52">
          <cell r="B52" t="str">
            <v>Main Panel</v>
          </cell>
        </row>
      </sheetData>
      <sheetData sheetId="955">
        <row r="52">
          <cell r="B52" t="str">
            <v>Main Panel</v>
          </cell>
        </row>
      </sheetData>
      <sheetData sheetId="956">
        <row r="52">
          <cell r="B52" t="str">
            <v>Main Panel</v>
          </cell>
        </row>
      </sheetData>
      <sheetData sheetId="957">
        <row r="52">
          <cell r="B52" t="str">
            <v>Main Panel</v>
          </cell>
        </row>
      </sheetData>
      <sheetData sheetId="958">
        <row r="52">
          <cell r="B52" t="str">
            <v>Main Panel</v>
          </cell>
        </row>
      </sheetData>
      <sheetData sheetId="959">
        <row r="52">
          <cell r="B52" t="str">
            <v>Main Panel</v>
          </cell>
        </row>
      </sheetData>
      <sheetData sheetId="960">
        <row r="52">
          <cell r="B52" t="str">
            <v>Main Panel</v>
          </cell>
        </row>
      </sheetData>
      <sheetData sheetId="961">
        <row r="52">
          <cell r="B52" t="str">
            <v>Main Panel</v>
          </cell>
        </row>
      </sheetData>
      <sheetData sheetId="962">
        <row r="52">
          <cell r="B52" t="str">
            <v>Main Panel</v>
          </cell>
        </row>
      </sheetData>
      <sheetData sheetId="963">
        <row r="52">
          <cell r="B52" t="str">
            <v>Main Panel</v>
          </cell>
        </row>
      </sheetData>
      <sheetData sheetId="964">
        <row r="52">
          <cell r="B52" t="str">
            <v>Main Panel</v>
          </cell>
        </row>
      </sheetData>
      <sheetData sheetId="965">
        <row r="52">
          <cell r="B52" t="str">
            <v>Main Panel</v>
          </cell>
        </row>
      </sheetData>
      <sheetData sheetId="966">
        <row r="52">
          <cell r="B52" t="str">
            <v>Main Panel</v>
          </cell>
        </row>
      </sheetData>
      <sheetData sheetId="967">
        <row r="52">
          <cell r="B52" t="str">
            <v>Main Panel</v>
          </cell>
        </row>
      </sheetData>
      <sheetData sheetId="968">
        <row r="52">
          <cell r="B52" t="str">
            <v>Main Panel</v>
          </cell>
        </row>
      </sheetData>
      <sheetData sheetId="969">
        <row r="52">
          <cell r="B52" t="str">
            <v>Main Panel</v>
          </cell>
        </row>
      </sheetData>
      <sheetData sheetId="970">
        <row r="52">
          <cell r="B52" t="str">
            <v>Main Panel</v>
          </cell>
        </row>
      </sheetData>
      <sheetData sheetId="971">
        <row r="52">
          <cell r="B52" t="str">
            <v>Main Panel</v>
          </cell>
        </row>
      </sheetData>
      <sheetData sheetId="972">
        <row r="52">
          <cell r="B52" t="str">
            <v>Main Panel</v>
          </cell>
        </row>
      </sheetData>
      <sheetData sheetId="973">
        <row r="52">
          <cell r="B52" t="str">
            <v>Main Panel</v>
          </cell>
        </row>
      </sheetData>
      <sheetData sheetId="974">
        <row r="52">
          <cell r="B52" t="str">
            <v>Main Panel</v>
          </cell>
        </row>
      </sheetData>
      <sheetData sheetId="975">
        <row r="52">
          <cell r="B52" t="str">
            <v>Main Panel</v>
          </cell>
        </row>
      </sheetData>
      <sheetData sheetId="976">
        <row r="52">
          <cell r="B52" t="str">
            <v>Main Panel</v>
          </cell>
        </row>
      </sheetData>
      <sheetData sheetId="977">
        <row r="52">
          <cell r="B52" t="str">
            <v>Main Panel</v>
          </cell>
        </row>
      </sheetData>
      <sheetData sheetId="978">
        <row r="52">
          <cell r="B52" t="str">
            <v>Main Panel</v>
          </cell>
        </row>
      </sheetData>
      <sheetData sheetId="979">
        <row r="52">
          <cell r="B52" t="str">
            <v>Main Panel</v>
          </cell>
        </row>
      </sheetData>
      <sheetData sheetId="980">
        <row r="52">
          <cell r="B52" t="str">
            <v>Main Panel</v>
          </cell>
        </row>
      </sheetData>
      <sheetData sheetId="981">
        <row r="52">
          <cell r="B52" t="str">
            <v>Main Panel</v>
          </cell>
        </row>
      </sheetData>
      <sheetData sheetId="982">
        <row r="52">
          <cell r="B52" t="str">
            <v>Main Panel</v>
          </cell>
        </row>
      </sheetData>
      <sheetData sheetId="983">
        <row r="52">
          <cell r="B52" t="str">
            <v>Main Panel</v>
          </cell>
        </row>
      </sheetData>
      <sheetData sheetId="984">
        <row r="52">
          <cell r="B52" t="str">
            <v>Main Panel</v>
          </cell>
        </row>
      </sheetData>
      <sheetData sheetId="985">
        <row r="52">
          <cell r="B52" t="str">
            <v>Main Panel</v>
          </cell>
        </row>
      </sheetData>
      <sheetData sheetId="986">
        <row r="52">
          <cell r="B52" t="str">
            <v>Main Panel</v>
          </cell>
        </row>
      </sheetData>
      <sheetData sheetId="987">
        <row r="52">
          <cell r="B52" t="str">
            <v>Main Panel</v>
          </cell>
        </row>
      </sheetData>
      <sheetData sheetId="988">
        <row r="52">
          <cell r="B52" t="str">
            <v>Main Panel</v>
          </cell>
        </row>
      </sheetData>
      <sheetData sheetId="989">
        <row r="52">
          <cell r="B52" t="str">
            <v>Main Panel</v>
          </cell>
        </row>
      </sheetData>
      <sheetData sheetId="990">
        <row r="52">
          <cell r="B52" t="str">
            <v>Main Panel</v>
          </cell>
        </row>
      </sheetData>
      <sheetData sheetId="991">
        <row r="52">
          <cell r="B52" t="str">
            <v>Main Panel</v>
          </cell>
        </row>
      </sheetData>
      <sheetData sheetId="992">
        <row r="52">
          <cell r="B52" t="str">
            <v>Main Panel</v>
          </cell>
        </row>
      </sheetData>
      <sheetData sheetId="993">
        <row r="52">
          <cell r="B52" t="str">
            <v>Main Panel</v>
          </cell>
        </row>
      </sheetData>
      <sheetData sheetId="994">
        <row r="52">
          <cell r="B52" t="str">
            <v>Main Panel</v>
          </cell>
        </row>
      </sheetData>
      <sheetData sheetId="995">
        <row r="52">
          <cell r="B52" t="str">
            <v>Main Panel</v>
          </cell>
        </row>
      </sheetData>
      <sheetData sheetId="996">
        <row r="52">
          <cell r="B52" t="str">
            <v>Main Panel</v>
          </cell>
        </row>
      </sheetData>
      <sheetData sheetId="997">
        <row r="52">
          <cell r="B52" t="str">
            <v>Main Panel</v>
          </cell>
        </row>
      </sheetData>
      <sheetData sheetId="998">
        <row r="52">
          <cell r="B52" t="str">
            <v>Main Panel</v>
          </cell>
        </row>
      </sheetData>
      <sheetData sheetId="999">
        <row r="52">
          <cell r="B52" t="str">
            <v>Main Panel</v>
          </cell>
        </row>
      </sheetData>
      <sheetData sheetId="1000">
        <row r="52">
          <cell r="B52" t="str">
            <v>Main Panel</v>
          </cell>
        </row>
      </sheetData>
      <sheetData sheetId="1001">
        <row r="52">
          <cell r="B52" t="str">
            <v>Main Panel</v>
          </cell>
        </row>
      </sheetData>
      <sheetData sheetId="1002">
        <row r="52">
          <cell r="B52" t="str">
            <v>Main Panel</v>
          </cell>
        </row>
      </sheetData>
      <sheetData sheetId="1003">
        <row r="52">
          <cell r="B52" t="str">
            <v>Main Panel</v>
          </cell>
        </row>
      </sheetData>
      <sheetData sheetId="1004">
        <row r="52">
          <cell r="B52" t="str">
            <v>Main Panel</v>
          </cell>
        </row>
      </sheetData>
      <sheetData sheetId="1005">
        <row r="52">
          <cell r="B52" t="str">
            <v>Main Panel</v>
          </cell>
        </row>
      </sheetData>
      <sheetData sheetId="1006">
        <row r="52">
          <cell r="B52" t="str">
            <v>Main Panel</v>
          </cell>
        </row>
      </sheetData>
      <sheetData sheetId="1007">
        <row r="52">
          <cell r="B52" t="str">
            <v>Main Panel</v>
          </cell>
        </row>
      </sheetData>
      <sheetData sheetId="1008">
        <row r="52">
          <cell r="B52" t="str">
            <v>Main Panel</v>
          </cell>
        </row>
      </sheetData>
      <sheetData sheetId="1009">
        <row r="52">
          <cell r="B52" t="str">
            <v>Main Panel</v>
          </cell>
        </row>
      </sheetData>
      <sheetData sheetId="1010">
        <row r="52">
          <cell r="B52" t="str">
            <v>Main Panel</v>
          </cell>
        </row>
      </sheetData>
      <sheetData sheetId="1011">
        <row r="52">
          <cell r="B52" t="str">
            <v>Main Panel</v>
          </cell>
        </row>
      </sheetData>
      <sheetData sheetId="1012">
        <row r="52">
          <cell r="B52" t="str">
            <v>Main Panel</v>
          </cell>
        </row>
      </sheetData>
      <sheetData sheetId="1013">
        <row r="52">
          <cell r="B52" t="str">
            <v>Main Panel</v>
          </cell>
        </row>
      </sheetData>
      <sheetData sheetId="1014">
        <row r="52">
          <cell r="B52" t="str">
            <v>Main Panel</v>
          </cell>
        </row>
      </sheetData>
      <sheetData sheetId="1015">
        <row r="52">
          <cell r="B52" t="str">
            <v>Main Panel</v>
          </cell>
        </row>
      </sheetData>
      <sheetData sheetId="1016">
        <row r="52">
          <cell r="B52" t="str">
            <v>Main Panel</v>
          </cell>
        </row>
      </sheetData>
      <sheetData sheetId="1017">
        <row r="52">
          <cell r="B52" t="str">
            <v>Main Panel</v>
          </cell>
        </row>
      </sheetData>
      <sheetData sheetId="1018">
        <row r="52">
          <cell r="B52" t="str">
            <v>Main Panel</v>
          </cell>
        </row>
      </sheetData>
      <sheetData sheetId="1019">
        <row r="52">
          <cell r="B52" t="str">
            <v>Main Panel</v>
          </cell>
        </row>
      </sheetData>
      <sheetData sheetId="1020">
        <row r="52">
          <cell r="B52" t="str">
            <v>Main Panel</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52">
          <cell r="B52" t="str">
            <v>Main Panel</v>
          </cell>
        </row>
      </sheetData>
      <sheetData sheetId="1060">
        <row r="52">
          <cell r="B52" t="str">
            <v>Main Panel</v>
          </cell>
        </row>
      </sheetData>
      <sheetData sheetId="1061">
        <row r="52">
          <cell r="B52" t="str">
            <v>Main Panel</v>
          </cell>
        </row>
      </sheetData>
      <sheetData sheetId="1062">
        <row r="52">
          <cell r="B52" t="str">
            <v>Main Panel</v>
          </cell>
        </row>
      </sheetData>
      <sheetData sheetId="1063">
        <row r="52">
          <cell r="B52" t="str">
            <v>Main Panel</v>
          </cell>
        </row>
      </sheetData>
      <sheetData sheetId="1064">
        <row r="52">
          <cell r="B52" t="str">
            <v>Main Panel</v>
          </cell>
        </row>
      </sheetData>
      <sheetData sheetId="1065">
        <row r="52">
          <cell r="B52" t="str">
            <v>Main Panel</v>
          </cell>
        </row>
      </sheetData>
      <sheetData sheetId="1066">
        <row r="52">
          <cell r="B52" t="str">
            <v>Main Panel</v>
          </cell>
        </row>
      </sheetData>
      <sheetData sheetId="1067">
        <row r="52">
          <cell r="B52" t="str">
            <v>Main Panel</v>
          </cell>
        </row>
      </sheetData>
      <sheetData sheetId="1068">
        <row r="52">
          <cell r="B52" t="str">
            <v>Main Panel</v>
          </cell>
        </row>
      </sheetData>
      <sheetData sheetId="1069">
        <row r="52">
          <cell r="B52" t="str">
            <v>Main Panel</v>
          </cell>
        </row>
      </sheetData>
      <sheetData sheetId="1070">
        <row r="52">
          <cell r="B52" t="str">
            <v>Main Panel</v>
          </cell>
        </row>
      </sheetData>
      <sheetData sheetId="1071">
        <row r="52">
          <cell r="B52" t="str">
            <v>Main Panel</v>
          </cell>
        </row>
      </sheetData>
      <sheetData sheetId="1072">
        <row r="52">
          <cell r="B52" t="str">
            <v>Main Panel</v>
          </cell>
        </row>
      </sheetData>
      <sheetData sheetId="1073">
        <row r="52">
          <cell r="B52" t="str">
            <v>Main Panel</v>
          </cell>
        </row>
      </sheetData>
      <sheetData sheetId="1074">
        <row r="52">
          <cell r="B52" t="str">
            <v>Main Panel</v>
          </cell>
        </row>
      </sheetData>
      <sheetData sheetId="1075">
        <row r="52">
          <cell r="B52" t="str">
            <v>Main Panel</v>
          </cell>
        </row>
      </sheetData>
      <sheetData sheetId="1076">
        <row r="52">
          <cell r="B52" t="str">
            <v>Main Panel</v>
          </cell>
        </row>
      </sheetData>
      <sheetData sheetId="1077">
        <row r="52">
          <cell r="B52" t="str">
            <v>Main Panel</v>
          </cell>
        </row>
      </sheetData>
      <sheetData sheetId="1078">
        <row r="52">
          <cell r="B52" t="str">
            <v>Main Panel</v>
          </cell>
        </row>
      </sheetData>
      <sheetData sheetId="1079">
        <row r="52">
          <cell r="B52" t="str">
            <v>Main Panel</v>
          </cell>
        </row>
      </sheetData>
      <sheetData sheetId="1080">
        <row r="52">
          <cell r="B52" t="str">
            <v>Main Panel</v>
          </cell>
        </row>
      </sheetData>
      <sheetData sheetId="1081">
        <row r="52">
          <cell r="B52" t="str">
            <v>Main Panel</v>
          </cell>
        </row>
      </sheetData>
      <sheetData sheetId="1082">
        <row r="52">
          <cell r="B52" t="str">
            <v>Main Panel</v>
          </cell>
        </row>
      </sheetData>
      <sheetData sheetId="1083">
        <row r="52">
          <cell r="B52" t="str">
            <v>Main Panel</v>
          </cell>
        </row>
      </sheetData>
      <sheetData sheetId="1084">
        <row r="52">
          <cell r="B52" t="str">
            <v>Main Panel</v>
          </cell>
        </row>
      </sheetData>
      <sheetData sheetId="1085">
        <row r="52">
          <cell r="B52" t="str">
            <v>Main Panel</v>
          </cell>
        </row>
      </sheetData>
      <sheetData sheetId="1086">
        <row r="52">
          <cell r="B52" t="str">
            <v>Main Panel</v>
          </cell>
        </row>
      </sheetData>
      <sheetData sheetId="1087">
        <row r="52">
          <cell r="B52" t="str">
            <v>Main Panel</v>
          </cell>
        </row>
      </sheetData>
      <sheetData sheetId="1088">
        <row r="52">
          <cell r="B52" t="str">
            <v>Main Panel</v>
          </cell>
        </row>
      </sheetData>
      <sheetData sheetId="1089">
        <row r="52">
          <cell r="B52" t="str">
            <v>Main Panel</v>
          </cell>
        </row>
      </sheetData>
      <sheetData sheetId="1090">
        <row r="52">
          <cell r="B52" t="str">
            <v>Main Panel</v>
          </cell>
        </row>
      </sheetData>
      <sheetData sheetId="1091">
        <row r="52">
          <cell r="B52" t="str">
            <v>Main Panel</v>
          </cell>
        </row>
      </sheetData>
      <sheetData sheetId="1092">
        <row r="52">
          <cell r="B52" t="str">
            <v>Main Panel</v>
          </cell>
        </row>
      </sheetData>
      <sheetData sheetId="1093">
        <row r="52">
          <cell r="B52" t="str">
            <v>Main Panel</v>
          </cell>
        </row>
      </sheetData>
      <sheetData sheetId="1094">
        <row r="52">
          <cell r="B52" t="str">
            <v>Main Panel</v>
          </cell>
        </row>
      </sheetData>
      <sheetData sheetId="1095">
        <row r="52">
          <cell r="B52" t="str">
            <v>Main Panel</v>
          </cell>
        </row>
      </sheetData>
      <sheetData sheetId="1096">
        <row r="52">
          <cell r="B52" t="str">
            <v>Main Panel</v>
          </cell>
        </row>
      </sheetData>
      <sheetData sheetId="1097">
        <row r="52">
          <cell r="B52" t="str">
            <v>Main Panel</v>
          </cell>
        </row>
      </sheetData>
      <sheetData sheetId="1098">
        <row r="52">
          <cell r="B52" t="str">
            <v>Main Panel</v>
          </cell>
        </row>
      </sheetData>
      <sheetData sheetId="1099">
        <row r="52">
          <cell r="B52" t="str">
            <v>Main Panel</v>
          </cell>
        </row>
      </sheetData>
      <sheetData sheetId="1100">
        <row r="52">
          <cell r="B52" t="str">
            <v>Main Panel</v>
          </cell>
        </row>
      </sheetData>
      <sheetData sheetId="1101">
        <row r="52">
          <cell r="B52" t="str">
            <v>Main Panel</v>
          </cell>
        </row>
      </sheetData>
      <sheetData sheetId="1102">
        <row r="52">
          <cell r="B52" t="str">
            <v>Main Panel</v>
          </cell>
        </row>
      </sheetData>
      <sheetData sheetId="1103">
        <row r="52">
          <cell r="B52" t="str">
            <v>Main Panel</v>
          </cell>
        </row>
      </sheetData>
      <sheetData sheetId="1104">
        <row r="52">
          <cell r="B52" t="str">
            <v>Main Panel</v>
          </cell>
        </row>
      </sheetData>
      <sheetData sheetId="1105">
        <row r="52">
          <cell r="B52" t="str">
            <v>Main Panel</v>
          </cell>
        </row>
      </sheetData>
      <sheetData sheetId="1106">
        <row r="52">
          <cell r="B52" t="str">
            <v>Main Panel</v>
          </cell>
        </row>
      </sheetData>
      <sheetData sheetId="1107">
        <row r="52">
          <cell r="B52" t="str">
            <v>Main Panel</v>
          </cell>
        </row>
      </sheetData>
      <sheetData sheetId="1108">
        <row r="52">
          <cell r="B52" t="str">
            <v>Main Panel</v>
          </cell>
        </row>
      </sheetData>
      <sheetData sheetId="1109">
        <row r="52">
          <cell r="B52" t="str">
            <v>Main Panel</v>
          </cell>
        </row>
      </sheetData>
      <sheetData sheetId="1110">
        <row r="52">
          <cell r="B52" t="str">
            <v>Main Panel</v>
          </cell>
        </row>
      </sheetData>
      <sheetData sheetId="1111">
        <row r="52">
          <cell r="B52" t="str">
            <v>Main Panel</v>
          </cell>
        </row>
      </sheetData>
      <sheetData sheetId="1112">
        <row r="52">
          <cell r="B52" t="str">
            <v>Main Panel</v>
          </cell>
        </row>
      </sheetData>
      <sheetData sheetId="1113">
        <row r="52">
          <cell r="B52" t="str">
            <v>Main Panel</v>
          </cell>
        </row>
      </sheetData>
      <sheetData sheetId="1114">
        <row r="52">
          <cell r="B52" t="str">
            <v>Main Panel</v>
          </cell>
        </row>
      </sheetData>
      <sheetData sheetId="1115">
        <row r="52">
          <cell r="B52" t="str">
            <v>Main Panel</v>
          </cell>
        </row>
      </sheetData>
      <sheetData sheetId="1116">
        <row r="52">
          <cell r="B52" t="str">
            <v>Main Panel</v>
          </cell>
        </row>
      </sheetData>
      <sheetData sheetId="1117">
        <row r="52">
          <cell r="B52" t="str">
            <v>Main Panel</v>
          </cell>
        </row>
      </sheetData>
      <sheetData sheetId="1118">
        <row r="52">
          <cell r="B52" t="str">
            <v>Main Panel</v>
          </cell>
        </row>
      </sheetData>
      <sheetData sheetId="1119">
        <row r="52">
          <cell r="B52" t="str">
            <v>Main Panel</v>
          </cell>
        </row>
      </sheetData>
      <sheetData sheetId="1120">
        <row r="52">
          <cell r="B52" t="str">
            <v>Main Panel</v>
          </cell>
        </row>
      </sheetData>
      <sheetData sheetId="1121">
        <row r="52">
          <cell r="B52" t="str">
            <v>Main Panel</v>
          </cell>
        </row>
      </sheetData>
      <sheetData sheetId="1122">
        <row r="52">
          <cell r="B52" t="str">
            <v>Main Panel</v>
          </cell>
        </row>
      </sheetData>
      <sheetData sheetId="1123">
        <row r="52">
          <cell r="B52" t="str">
            <v>Main Panel</v>
          </cell>
        </row>
      </sheetData>
      <sheetData sheetId="1124">
        <row r="52">
          <cell r="B52" t="str">
            <v>Main Panel</v>
          </cell>
        </row>
      </sheetData>
      <sheetData sheetId="1125">
        <row r="52">
          <cell r="B52" t="str">
            <v>Main Panel</v>
          </cell>
        </row>
      </sheetData>
      <sheetData sheetId="1126">
        <row r="52">
          <cell r="B52" t="str">
            <v>Main Panel</v>
          </cell>
        </row>
      </sheetData>
      <sheetData sheetId="1127">
        <row r="52">
          <cell r="B52" t="str">
            <v>Main Panel</v>
          </cell>
        </row>
      </sheetData>
      <sheetData sheetId="1128">
        <row r="52">
          <cell r="B52" t="str">
            <v>Main Panel</v>
          </cell>
        </row>
      </sheetData>
      <sheetData sheetId="1129">
        <row r="52">
          <cell r="B52" t="str">
            <v>Main Panel</v>
          </cell>
        </row>
      </sheetData>
      <sheetData sheetId="1130">
        <row r="52">
          <cell r="B52" t="str">
            <v>Main Panel</v>
          </cell>
        </row>
      </sheetData>
      <sheetData sheetId="1131">
        <row r="52">
          <cell r="B52" t="str">
            <v>Main Panel</v>
          </cell>
        </row>
      </sheetData>
      <sheetData sheetId="1132">
        <row r="52">
          <cell r="B52" t="str">
            <v>Main Panel</v>
          </cell>
        </row>
      </sheetData>
      <sheetData sheetId="1133">
        <row r="52">
          <cell r="B52" t="str">
            <v>Main Panel</v>
          </cell>
        </row>
      </sheetData>
      <sheetData sheetId="1134">
        <row r="52">
          <cell r="B52" t="str">
            <v>Main Panel</v>
          </cell>
        </row>
      </sheetData>
      <sheetData sheetId="1135">
        <row r="52">
          <cell r="B52" t="str">
            <v>Main Panel</v>
          </cell>
        </row>
      </sheetData>
      <sheetData sheetId="1136">
        <row r="52">
          <cell r="B52" t="str">
            <v>Main Panel</v>
          </cell>
        </row>
      </sheetData>
      <sheetData sheetId="1137">
        <row r="52">
          <cell r="B52" t="str">
            <v>Main Panel</v>
          </cell>
        </row>
      </sheetData>
      <sheetData sheetId="1138">
        <row r="52">
          <cell r="B52" t="str">
            <v>Main Panel</v>
          </cell>
        </row>
      </sheetData>
      <sheetData sheetId="1139">
        <row r="52">
          <cell r="B52" t="str">
            <v>Main Panel</v>
          </cell>
        </row>
      </sheetData>
      <sheetData sheetId="1140">
        <row r="52">
          <cell r="B52" t="str">
            <v>Main Panel</v>
          </cell>
        </row>
      </sheetData>
      <sheetData sheetId="1141">
        <row r="52">
          <cell r="B52" t="str">
            <v>Main Panel</v>
          </cell>
        </row>
      </sheetData>
      <sheetData sheetId="1142">
        <row r="52">
          <cell r="B52" t="str">
            <v>Main Panel</v>
          </cell>
        </row>
      </sheetData>
      <sheetData sheetId="1143">
        <row r="52">
          <cell r="B52" t="str">
            <v>Main Panel</v>
          </cell>
        </row>
      </sheetData>
      <sheetData sheetId="1144">
        <row r="52">
          <cell r="B52" t="str">
            <v>Main Panel</v>
          </cell>
        </row>
      </sheetData>
      <sheetData sheetId="1145">
        <row r="52">
          <cell r="B52" t="str">
            <v>Main Panel</v>
          </cell>
        </row>
      </sheetData>
      <sheetData sheetId="1146">
        <row r="52">
          <cell r="B52" t="str">
            <v>Main Panel</v>
          </cell>
        </row>
      </sheetData>
      <sheetData sheetId="1147">
        <row r="52">
          <cell r="B52" t="str">
            <v>Main Panel</v>
          </cell>
        </row>
      </sheetData>
      <sheetData sheetId="1148">
        <row r="52">
          <cell r="B52" t="str">
            <v>Main Panel</v>
          </cell>
        </row>
      </sheetData>
      <sheetData sheetId="1149">
        <row r="52">
          <cell r="B52" t="str">
            <v>Main Panel</v>
          </cell>
        </row>
      </sheetData>
      <sheetData sheetId="1150">
        <row r="52">
          <cell r="B52" t="str">
            <v>Main Panel</v>
          </cell>
        </row>
      </sheetData>
      <sheetData sheetId="1151">
        <row r="52">
          <cell r="B52" t="str">
            <v>Main Panel</v>
          </cell>
        </row>
      </sheetData>
      <sheetData sheetId="1152">
        <row r="52">
          <cell r="B52" t="str">
            <v>Main Panel</v>
          </cell>
        </row>
      </sheetData>
      <sheetData sheetId="1153">
        <row r="52">
          <cell r="B52" t="str">
            <v>Main Panel</v>
          </cell>
        </row>
      </sheetData>
      <sheetData sheetId="1154">
        <row r="52">
          <cell r="B52" t="str">
            <v>Main Panel</v>
          </cell>
        </row>
      </sheetData>
      <sheetData sheetId="1155">
        <row r="52">
          <cell r="B52" t="str">
            <v>Main Panel</v>
          </cell>
        </row>
      </sheetData>
      <sheetData sheetId="1156">
        <row r="52">
          <cell r="B52" t="str">
            <v>Main Panel</v>
          </cell>
        </row>
      </sheetData>
      <sheetData sheetId="1157">
        <row r="52">
          <cell r="B52" t="str">
            <v>Main Panel</v>
          </cell>
        </row>
      </sheetData>
      <sheetData sheetId="1158">
        <row r="52">
          <cell r="B52" t="str">
            <v>Main Panel</v>
          </cell>
        </row>
      </sheetData>
      <sheetData sheetId="1159">
        <row r="52">
          <cell r="B52" t="str">
            <v>Main Panel</v>
          </cell>
        </row>
      </sheetData>
      <sheetData sheetId="1160">
        <row r="52">
          <cell r="B52" t="str">
            <v>Main Panel</v>
          </cell>
        </row>
      </sheetData>
      <sheetData sheetId="1161">
        <row r="52">
          <cell r="B52" t="str">
            <v>Main Panel</v>
          </cell>
        </row>
      </sheetData>
      <sheetData sheetId="1162">
        <row r="52">
          <cell r="B52" t="str">
            <v>Main Panel</v>
          </cell>
        </row>
      </sheetData>
      <sheetData sheetId="1163">
        <row r="52">
          <cell r="B52" t="str">
            <v>Main Panel</v>
          </cell>
        </row>
      </sheetData>
      <sheetData sheetId="1164">
        <row r="52">
          <cell r="B52" t="str">
            <v>Main Panel</v>
          </cell>
        </row>
      </sheetData>
      <sheetData sheetId="1165">
        <row r="52">
          <cell r="B52" t="str">
            <v>Main Panel</v>
          </cell>
        </row>
      </sheetData>
      <sheetData sheetId="1166">
        <row r="52">
          <cell r="B52" t="str">
            <v>Main Panel</v>
          </cell>
        </row>
      </sheetData>
      <sheetData sheetId="1167">
        <row r="52">
          <cell r="B52" t="str">
            <v>Main Panel</v>
          </cell>
        </row>
      </sheetData>
      <sheetData sheetId="1168">
        <row r="52">
          <cell r="B52" t="str">
            <v>Main Panel</v>
          </cell>
        </row>
      </sheetData>
      <sheetData sheetId="1169">
        <row r="52">
          <cell r="B52" t="str">
            <v>Main Panel</v>
          </cell>
        </row>
      </sheetData>
      <sheetData sheetId="1170">
        <row r="52">
          <cell r="B52" t="str">
            <v>Main Panel</v>
          </cell>
        </row>
      </sheetData>
      <sheetData sheetId="1171">
        <row r="52">
          <cell r="B52" t="str">
            <v>Main Panel</v>
          </cell>
        </row>
      </sheetData>
      <sheetData sheetId="1172">
        <row r="52">
          <cell r="B52" t="str">
            <v>Main Panel</v>
          </cell>
        </row>
      </sheetData>
      <sheetData sheetId="1173">
        <row r="52">
          <cell r="B52" t="str">
            <v>Main Panel</v>
          </cell>
        </row>
      </sheetData>
      <sheetData sheetId="1174">
        <row r="52">
          <cell r="B52" t="str">
            <v>Main Panel</v>
          </cell>
        </row>
      </sheetData>
      <sheetData sheetId="1175">
        <row r="52">
          <cell r="B52" t="str">
            <v>Main Panel</v>
          </cell>
        </row>
      </sheetData>
      <sheetData sheetId="1176">
        <row r="52">
          <cell r="B52" t="str">
            <v>Main Panel</v>
          </cell>
        </row>
      </sheetData>
      <sheetData sheetId="1177">
        <row r="52">
          <cell r="B52" t="str">
            <v>Main Panel</v>
          </cell>
        </row>
      </sheetData>
      <sheetData sheetId="1178">
        <row r="52">
          <cell r="B52" t="str">
            <v>Main Panel</v>
          </cell>
        </row>
      </sheetData>
      <sheetData sheetId="1179">
        <row r="52">
          <cell r="B52" t="str">
            <v>Main Panel</v>
          </cell>
        </row>
      </sheetData>
      <sheetData sheetId="1180">
        <row r="52">
          <cell r="B52" t="str">
            <v>Main Panel</v>
          </cell>
        </row>
      </sheetData>
      <sheetData sheetId="1181">
        <row r="52">
          <cell r="B52" t="str">
            <v>Main Panel</v>
          </cell>
        </row>
      </sheetData>
      <sheetData sheetId="1182">
        <row r="52">
          <cell r="B52" t="str">
            <v>Main Panel</v>
          </cell>
        </row>
      </sheetData>
      <sheetData sheetId="1183">
        <row r="52">
          <cell r="B52" t="str">
            <v>Main Panel</v>
          </cell>
        </row>
      </sheetData>
      <sheetData sheetId="1184">
        <row r="52">
          <cell r="B52" t="str">
            <v>Main Panel</v>
          </cell>
        </row>
      </sheetData>
      <sheetData sheetId="1185">
        <row r="52">
          <cell r="B52" t="str">
            <v>Main Panel</v>
          </cell>
        </row>
      </sheetData>
      <sheetData sheetId="1186">
        <row r="52">
          <cell r="B52" t="str">
            <v>Main Panel</v>
          </cell>
        </row>
      </sheetData>
      <sheetData sheetId="1187">
        <row r="52">
          <cell r="B52" t="str">
            <v>Main Panel</v>
          </cell>
        </row>
      </sheetData>
      <sheetData sheetId="1188">
        <row r="52">
          <cell r="B52" t="str">
            <v>Main Panel</v>
          </cell>
        </row>
      </sheetData>
      <sheetData sheetId="1189">
        <row r="52">
          <cell r="B52" t="str">
            <v>Main Panel</v>
          </cell>
        </row>
      </sheetData>
      <sheetData sheetId="1190">
        <row r="52">
          <cell r="B52" t="str">
            <v>Main Panel</v>
          </cell>
        </row>
      </sheetData>
      <sheetData sheetId="1191">
        <row r="52">
          <cell r="B52" t="str">
            <v>Main Panel</v>
          </cell>
        </row>
      </sheetData>
      <sheetData sheetId="1192">
        <row r="52">
          <cell r="B52" t="str">
            <v>Main Panel</v>
          </cell>
        </row>
      </sheetData>
      <sheetData sheetId="1193">
        <row r="52">
          <cell r="B52" t="str">
            <v>Main Panel</v>
          </cell>
        </row>
      </sheetData>
      <sheetData sheetId="1194">
        <row r="52">
          <cell r="B52" t="str">
            <v>Main Panel</v>
          </cell>
        </row>
      </sheetData>
      <sheetData sheetId="1195">
        <row r="52">
          <cell r="B52" t="str">
            <v>Main Panel</v>
          </cell>
        </row>
      </sheetData>
      <sheetData sheetId="1196">
        <row r="52">
          <cell r="B52" t="str">
            <v>Main Panel</v>
          </cell>
        </row>
      </sheetData>
      <sheetData sheetId="1197">
        <row r="52">
          <cell r="B52" t="str">
            <v>Main Panel</v>
          </cell>
        </row>
      </sheetData>
      <sheetData sheetId="1198">
        <row r="52">
          <cell r="B52" t="str">
            <v>Main Panel</v>
          </cell>
        </row>
      </sheetData>
      <sheetData sheetId="1199">
        <row r="52">
          <cell r="B52" t="str">
            <v>Main Panel</v>
          </cell>
        </row>
      </sheetData>
      <sheetData sheetId="1200">
        <row r="52">
          <cell r="B52" t="str">
            <v>Main Panel</v>
          </cell>
        </row>
      </sheetData>
      <sheetData sheetId="1201">
        <row r="52">
          <cell r="B52" t="str">
            <v>Main Panel</v>
          </cell>
        </row>
      </sheetData>
      <sheetData sheetId="1202">
        <row r="52">
          <cell r="B52" t="str">
            <v>Main Panel</v>
          </cell>
        </row>
      </sheetData>
      <sheetData sheetId="1203">
        <row r="52">
          <cell r="B52" t="str">
            <v>Main Panel</v>
          </cell>
        </row>
      </sheetData>
      <sheetData sheetId="1204">
        <row r="52">
          <cell r="B52" t="str">
            <v>Main Panel</v>
          </cell>
        </row>
      </sheetData>
      <sheetData sheetId="1205">
        <row r="52">
          <cell r="B52" t="str">
            <v>Main Panel</v>
          </cell>
        </row>
      </sheetData>
      <sheetData sheetId="1206">
        <row r="52">
          <cell r="B52" t="str">
            <v>Main Panel</v>
          </cell>
        </row>
      </sheetData>
      <sheetData sheetId="1207">
        <row r="52">
          <cell r="B52" t="str">
            <v>Main Panel</v>
          </cell>
        </row>
      </sheetData>
      <sheetData sheetId="1208">
        <row r="52">
          <cell r="B52" t="str">
            <v>Main Panel</v>
          </cell>
        </row>
      </sheetData>
      <sheetData sheetId="1209">
        <row r="52">
          <cell r="B52" t="str">
            <v>Main Panel</v>
          </cell>
        </row>
      </sheetData>
      <sheetData sheetId="1210">
        <row r="52">
          <cell r="B52" t="str">
            <v>Main Panel</v>
          </cell>
        </row>
      </sheetData>
      <sheetData sheetId="1211">
        <row r="52">
          <cell r="B52" t="str">
            <v>Main Panel</v>
          </cell>
        </row>
      </sheetData>
      <sheetData sheetId="1212">
        <row r="52">
          <cell r="B52" t="str">
            <v>Main Panel</v>
          </cell>
        </row>
      </sheetData>
      <sheetData sheetId="1213">
        <row r="52">
          <cell r="B52" t="str">
            <v>Main Panel</v>
          </cell>
        </row>
      </sheetData>
      <sheetData sheetId="1214">
        <row r="52">
          <cell r="B52" t="str">
            <v>Main Panel</v>
          </cell>
        </row>
      </sheetData>
      <sheetData sheetId="1215">
        <row r="52">
          <cell r="B52" t="str">
            <v>Main Panel</v>
          </cell>
        </row>
      </sheetData>
      <sheetData sheetId="1216">
        <row r="52">
          <cell r="B52" t="str">
            <v>Main Panel</v>
          </cell>
        </row>
      </sheetData>
      <sheetData sheetId="1217">
        <row r="52">
          <cell r="B52" t="str">
            <v>Main Panel</v>
          </cell>
        </row>
      </sheetData>
      <sheetData sheetId="1218">
        <row r="52">
          <cell r="B52" t="str">
            <v>Main Panel</v>
          </cell>
        </row>
      </sheetData>
      <sheetData sheetId="1219">
        <row r="52">
          <cell r="B52" t="str">
            <v>Main Panel</v>
          </cell>
        </row>
      </sheetData>
      <sheetData sheetId="1220">
        <row r="52">
          <cell r="B52" t="str">
            <v>Main Panel</v>
          </cell>
        </row>
      </sheetData>
      <sheetData sheetId="1221">
        <row r="52">
          <cell r="B52" t="str">
            <v>Main Panel</v>
          </cell>
        </row>
      </sheetData>
      <sheetData sheetId="1222">
        <row r="52">
          <cell r="B52" t="str">
            <v>Main Panel</v>
          </cell>
        </row>
      </sheetData>
      <sheetData sheetId="1223">
        <row r="52">
          <cell r="B52" t="str">
            <v>Main Panel</v>
          </cell>
        </row>
      </sheetData>
      <sheetData sheetId="1224">
        <row r="52">
          <cell r="B52" t="str">
            <v>Main Panel</v>
          </cell>
        </row>
      </sheetData>
      <sheetData sheetId="1225">
        <row r="52">
          <cell r="B52" t="str">
            <v>Main Panel</v>
          </cell>
        </row>
      </sheetData>
      <sheetData sheetId="1226">
        <row r="52">
          <cell r="B52" t="str">
            <v>Main Panel</v>
          </cell>
        </row>
      </sheetData>
      <sheetData sheetId="1227">
        <row r="52">
          <cell r="B52" t="str">
            <v>Main Panel</v>
          </cell>
        </row>
      </sheetData>
      <sheetData sheetId="1228">
        <row r="52">
          <cell r="B52" t="str">
            <v>Main Panel</v>
          </cell>
        </row>
      </sheetData>
      <sheetData sheetId="1229">
        <row r="52">
          <cell r="B52" t="str">
            <v>Main Panel</v>
          </cell>
        </row>
      </sheetData>
      <sheetData sheetId="1230">
        <row r="52">
          <cell r="B52" t="str">
            <v>Main Panel</v>
          </cell>
        </row>
      </sheetData>
      <sheetData sheetId="1231">
        <row r="52">
          <cell r="B52" t="str">
            <v>Main Panel</v>
          </cell>
        </row>
      </sheetData>
      <sheetData sheetId="1232">
        <row r="52">
          <cell r="B52" t="str">
            <v>Main Panel</v>
          </cell>
        </row>
      </sheetData>
      <sheetData sheetId="1233">
        <row r="52">
          <cell r="B52" t="str">
            <v>Main Panel</v>
          </cell>
        </row>
      </sheetData>
      <sheetData sheetId="1234">
        <row r="52">
          <cell r="B52" t="str">
            <v>Main Panel</v>
          </cell>
        </row>
      </sheetData>
      <sheetData sheetId="1235">
        <row r="52">
          <cell r="B52" t="str">
            <v>Main Panel</v>
          </cell>
        </row>
      </sheetData>
      <sheetData sheetId="1236">
        <row r="52">
          <cell r="B52" t="str">
            <v>Main Panel</v>
          </cell>
        </row>
      </sheetData>
      <sheetData sheetId="1237">
        <row r="52">
          <cell r="B52" t="str">
            <v>Main Panel</v>
          </cell>
        </row>
      </sheetData>
      <sheetData sheetId="1238">
        <row r="52">
          <cell r="B52" t="str">
            <v>Main Panel</v>
          </cell>
        </row>
      </sheetData>
      <sheetData sheetId="1239">
        <row r="52">
          <cell r="B52" t="str">
            <v>Main Panel</v>
          </cell>
        </row>
      </sheetData>
      <sheetData sheetId="1240">
        <row r="52">
          <cell r="B52" t="str">
            <v>Main Panel</v>
          </cell>
        </row>
      </sheetData>
      <sheetData sheetId="1241">
        <row r="52">
          <cell r="B52" t="str">
            <v>Main Panel</v>
          </cell>
        </row>
      </sheetData>
      <sheetData sheetId="1242">
        <row r="52">
          <cell r="B52" t="str">
            <v>Main Panel</v>
          </cell>
        </row>
      </sheetData>
      <sheetData sheetId="1243">
        <row r="52">
          <cell r="B52" t="str">
            <v>Main Panel</v>
          </cell>
        </row>
      </sheetData>
      <sheetData sheetId="1244">
        <row r="52">
          <cell r="B52" t="str">
            <v>Main Panel</v>
          </cell>
        </row>
      </sheetData>
      <sheetData sheetId="1245">
        <row r="52">
          <cell r="B52" t="str">
            <v>Main Panel</v>
          </cell>
        </row>
      </sheetData>
      <sheetData sheetId="1246">
        <row r="52">
          <cell r="B52" t="str">
            <v>Main Panel</v>
          </cell>
        </row>
      </sheetData>
      <sheetData sheetId="1247">
        <row r="52">
          <cell r="B52" t="str">
            <v>Main Panel</v>
          </cell>
        </row>
      </sheetData>
      <sheetData sheetId="1248">
        <row r="52">
          <cell r="B52" t="str">
            <v>Main Panel</v>
          </cell>
        </row>
      </sheetData>
      <sheetData sheetId="1249">
        <row r="52">
          <cell r="B52" t="str">
            <v>Main Panel</v>
          </cell>
        </row>
      </sheetData>
      <sheetData sheetId="1250">
        <row r="52">
          <cell r="B52" t="str">
            <v>Main Panel</v>
          </cell>
        </row>
      </sheetData>
      <sheetData sheetId="1251">
        <row r="52">
          <cell r="B52" t="str">
            <v>Main Panel</v>
          </cell>
        </row>
      </sheetData>
      <sheetData sheetId="1252">
        <row r="52">
          <cell r="B52" t="str">
            <v>Main Panel</v>
          </cell>
        </row>
      </sheetData>
      <sheetData sheetId="1253">
        <row r="52">
          <cell r="B52" t="str">
            <v>Main Panel</v>
          </cell>
        </row>
      </sheetData>
      <sheetData sheetId="1254">
        <row r="52">
          <cell r="B52" t="str">
            <v>Main Panel</v>
          </cell>
        </row>
      </sheetData>
      <sheetData sheetId="1255">
        <row r="52">
          <cell r="B52" t="str">
            <v>Main Panel</v>
          </cell>
        </row>
      </sheetData>
      <sheetData sheetId="1256">
        <row r="52">
          <cell r="B52" t="str">
            <v>Main Panel</v>
          </cell>
        </row>
      </sheetData>
      <sheetData sheetId="1257">
        <row r="52">
          <cell r="B52" t="str">
            <v>Main Panel</v>
          </cell>
        </row>
      </sheetData>
      <sheetData sheetId="1258">
        <row r="52">
          <cell r="B52" t="str">
            <v>Main Panel</v>
          </cell>
        </row>
      </sheetData>
      <sheetData sheetId="1259">
        <row r="52">
          <cell r="B52" t="str">
            <v>Main Panel</v>
          </cell>
        </row>
      </sheetData>
      <sheetData sheetId="1260">
        <row r="52">
          <cell r="B52" t="str">
            <v>Main Panel</v>
          </cell>
        </row>
      </sheetData>
      <sheetData sheetId="1261">
        <row r="52">
          <cell r="B52" t="str">
            <v>Main Panel</v>
          </cell>
        </row>
      </sheetData>
      <sheetData sheetId="1262">
        <row r="52">
          <cell r="B52" t="str">
            <v>Main Panel</v>
          </cell>
        </row>
      </sheetData>
      <sheetData sheetId="1263">
        <row r="52">
          <cell r="B52" t="str">
            <v>Main Panel</v>
          </cell>
        </row>
      </sheetData>
      <sheetData sheetId="1264">
        <row r="52">
          <cell r="B52" t="str">
            <v>Main Panel</v>
          </cell>
        </row>
      </sheetData>
      <sheetData sheetId="1265">
        <row r="52">
          <cell r="B52" t="str">
            <v>Main Panel</v>
          </cell>
        </row>
      </sheetData>
      <sheetData sheetId="1266">
        <row r="52">
          <cell r="B52" t="str">
            <v>Main Panel</v>
          </cell>
        </row>
      </sheetData>
      <sheetData sheetId="1267">
        <row r="52">
          <cell r="B52" t="str">
            <v>Main Panel</v>
          </cell>
        </row>
      </sheetData>
      <sheetData sheetId="1268">
        <row r="52">
          <cell r="B52" t="str">
            <v>Main Panel</v>
          </cell>
        </row>
      </sheetData>
      <sheetData sheetId="1269">
        <row r="52">
          <cell r="B52" t="str">
            <v>Main Panel</v>
          </cell>
        </row>
      </sheetData>
      <sheetData sheetId="1270">
        <row r="52">
          <cell r="B52" t="str">
            <v>Main Panel</v>
          </cell>
        </row>
      </sheetData>
      <sheetData sheetId="1271">
        <row r="52">
          <cell r="B52" t="str">
            <v>Main Panel</v>
          </cell>
        </row>
      </sheetData>
      <sheetData sheetId="1272">
        <row r="52">
          <cell r="B52" t="str">
            <v>Main Panel</v>
          </cell>
        </row>
      </sheetData>
      <sheetData sheetId="1273">
        <row r="52">
          <cell r="B52" t="str">
            <v>Main Panel</v>
          </cell>
        </row>
      </sheetData>
      <sheetData sheetId="1274">
        <row r="52">
          <cell r="B52" t="str">
            <v>Main Panel</v>
          </cell>
        </row>
      </sheetData>
      <sheetData sheetId="1275">
        <row r="52">
          <cell r="B52" t="str">
            <v>Main Panel</v>
          </cell>
        </row>
      </sheetData>
      <sheetData sheetId="1276">
        <row r="52">
          <cell r="B52" t="str">
            <v>Main Panel</v>
          </cell>
        </row>
      </sheetData>
      <sheetData sheetId="1277">
        <row r="52">
          <cell r="B52" t="str">
            <v>Main Panel</v>
          </cell>
        </row>
      </sheetData>
      <sheetData sheetId="1278">
        <row r="52">
          <cell r="B52" t="str">
            <v>Main Panel</v>
          </cell>
        </row>
      </sheetData>
      <sheetData sheetId="1279">
        <row r="52">
          <cell r="B52" t="str">
            <v>Main Panel</v>
          </cell>
        </row>
      </sheetData>
      <sheetData sheetId="1280">
        <row r="52">
          <cell r="B52" t="str">
            <v>Main Panel</v>
          </cell>
        </row>
      </sheetData>
      <sheetData sheetId="1281">
        <row r="52">
          <cell r="B52" t="str">
            <v>Main Panel</v>
          </cell>
        </row>
      </sheetData>
      <sheetData sheetId="1282">
        <row r="52">
          <cell r="B52" t="str">
            <v>Main Panel</v>
          </cell>
        </row>
      </sheetData>
      <sheetData sheetId="1283">
        <row r="52">
          <cell r="B52" t="str">
            <v>Main Panel</v>
          </cell>
        </row>
      </sheetData>
      <sheetData sheetId="1284">
        <row r="52">
          <cell r="B52" t="str">
            <v>Main Panel</v>
          </cell>
        </row>
      </sheetData>
      <sheetData sheetId="1285">
        <row r="52">
          <cell r="B52" t="str">
            <v>Main Panel</v>
          </cell>
        </row>
      </sheetData>
      <sheetData sheetId="1286">
        <row r="52">
          <cell r="B52" t="str">
            <v>Main Panel</v>
          </cell>
        </row>
      </sheetData>
      <sheetData sheetId="1287">
        <row r="52">
          <cell r="B52" t="str">
            <v>Main Panel</v>
          </cell>
        </row>
      </sheetData>
      <sheetData sheetId="1288">
        <row r="52">
          <cell r="B52" t="str">
            <v>Main Panel</v>
          </cell>
        </row>
      </sheetData>
      <sheetData sheetId="1289">
        <row r="52">
          <cell r="B52" t="str">
            <v>Main Panel</v>
          </cell>
        </row>
      </sheetData>
      <sheetData sheetId="1290">
        <row r="52">
          <cell r="B52" t="str">
            <v>Main Panel</v>
          </cell>
        </row>
      </sheetData>
      <sheetData sheetId="1291">
        <row r="52">
          <cell r="B52" t="str">
            <v>Main Panel</v>
          </cell>
        </row>
      </sheetData>
      <sheetData sheetId="1292">
        <row r="52">
          <cell r="B52" t="str">
            <v>Main Panel</v>
          </cell>
        </row>
      </sheetData>
      <sheetData sheetId="1293">
        <row r="52">
          <cell r="B52" t="str">
            <v>Main Panel</v>
          </cell>
        </row>
      </sheetData>
      <sheetData sheetId="1294">
        <row r="52">
          <cell r="B52" t="str">
            <v>Main Panel</v>
          </cell>
        </row>
      </sheetData>
      <sheetData sheetId="1295">
        <row r="52">
          <cell r="B52" t="str">
            <v>Main Panel</v>
          </cell>
        </row>
      </sheetData>
      <sheetData sheetId="1296">
        <row r="52">
          <cell r="B52" t="str">
            <v>Main Panel</v>
          </cell>
        </row>
      </sheetData>
      <sheetData sheetId="1297">
        <row r="52">
          <cell r="B52" t="str">
            <v>Main Panel</v>
          </cell>
        </row>
      </sheetData>
      <sheetData sheetId="1298">
        <row r="52">
          <cell r="B52" t="str">
            <v>Main Panel</v>
          </cell>
        </row>
      </sheetData>
      <sheetData sheetId="1299">
        <row r="52">
          <cell r="B52" t="str">
            <v>Main Panel</v>
          </cell>
        </row>
      </sheetData>
      <sheetData sheetId="1300">
        <row r="52">
          <cell r="B52" t="str">
            <v>Main Panel</v>
          </cell>
        </row>
      </sheetData>
      <sheetData sheetId="1301">
        <row r="52">
          <cell r="B52" t="str">
            <v>Main Panel</v>
          </cell>
        </row>
      </sheetData>
      <sheetData sheetId="1302">
        <row r="52">
          <cell r="B52" t="str">
            <v>Main Panel</v>
          </cell>
        </row>
      </sheetData>
      <sheetData sheetId="1303">
        <row r="52">
          <cell r="B52" t="str">
            <v>Main Panel</v>
          </cell>
        </row>
      </sheetData>
      <sheetData sheetId="1304">
        <row r="52">
          <cell r="B52" t="str">
            <v>Main Panel</v>
          </cell>
        </row>
      </sheetData>
      <sheetData sheetId="1305">
        <row r="52">
          <cell r="B52" t="str">
            <v>Main Panel</v>
          </cell>
        </row>
      </sheetData>
      <sheetData sheetId="1306">
        <row r="52">
          <cell r="B52" t="str">
            <v>Main Panel</v>
          </cell>
        </row>
      </sheetData>
      <sheetData sheetId="1307">
        <row r="52">
          <cell r="B52" t="str">
            <v>Main Panel</v>
          </cell>
        </row>
      </sheetData>
      <sheetData sheetId="1308">
        <row r="52">
          <cell r="B52" t="str">
            <v>Main Panel</v>
          </cell>
        </row>
      </sheetData>
      <sheetData sheetId="1309">
        <row r="52">
          <cell r="B52" t="str">
            <v>Main Panel</v>
          </cell>
        </row>
      </sheetData>
      <sheetData sheetId="1310">
        <row r="52">
          <cell r="B52" t="str">
            <v>Main Panel</v>
          </cell>
        </row>
      </sheetData>
      <sheetData sheetId="1311">
        <row r="52">
          <cell r="B52" t="str">
            <v>Main Panel</v>
          </cell>
        </row>
      </sheetData>
      <sheetData sheetId="1312">
        <row r="52">
          <cell r="B52" t="str">
            <v>Main Panel</v>
          </cell>
        </row>
      </sheetData>
      <sheetData sheetId="1313">
        <row r="52">
          <cell r="B52" t="str">
            <v>Main Panel</v>
          </cell>
        </row>
      </sheetData>
      <sheetData sheetId="1314">
        <row r="52">
          <cell r="B52" t="str">
            <v>Main Panel</v>
          </cell>
        </row>
      </sheetData>
      <sheetData sheetId="1315">
        <row r="52">
          <cell r="B52" t="str">
            <v>Main Panel</v>
          </cell>
        </row>
      </sheetData>
      <sheetData sheetId="1316">
        <row r="52">
          <cell r="B52" t="str">
            <v>Main Panel</v>
          </cell>
        </row>
      </sheetData>
      <sheetData sheetId="1317">
        <row r="52">
          <cell r="B52" t="str">
            <v>Main Panel</v>
          </cell>
        </row>
      </sheetData>
      <sheetData sheetId="1318">
        <row r="52">
          <cell r="B52" t="str">
            <v>Main Panel</v>
          </cell>
        </row>
      </sheetData>
      <sheetData sheetId="1319">
        <row r="52">
          <cell r="B52" t="str">
            <v>Main Panel</v>
          </cell>
        </row>
      </sheetData>
      <sheetData sheetId="1320">
        <row r="52">
          <cell r="B52" t="str">
            <v>Main Panel</v>
          </cell>
        </row>
      </sheetData>
      <sheetData sheetId="1321">
        <row r="52">
          <cell r="B52" t="str">
            <v>Main Panel</v>
          </cell>
        </row>
      </sheetData>
      <sheetData sheetId="1322">
        <row r="52">
          <cell r="B52" t="str">
            <v>Main Panel</v>
          </cell>
        </row>
      </sheetData>
      <sheetData sheetId="1323">
        <row r="52">
          <cell r="B52" t="str">
            <v>Main Panel</v>
          </cell>
        </row>
      </sheetData>
      <sheetData sheetId="1324">
        <row r="52">
          <cell r="B52" t="str">
            <v>Main Panel</v>
          </cell>
        </row>
      </sheetData>
      <sheetData sheetId="1325">
        <row r="52">
          <cell r="B52" t="str">
            <v>Main Panel</v>
          </cell>
        </row>
      </sheetData>
      <sheetData sheetId="1326">
        <row r="52">
          <cell r="B52" t="str">
            <v>Main Panel</v>
          </cell>
        </row>
      </sheetData>
      <sheetData sheetId="1327">
        <row r="52">
          <cell r="B52" t="str">
            <v>Main Panel</v>
          </cell>
        </row>
      </sheetData>
      <sheetData sheetId="1328">
        <row r="52">
          <cell r="B52" t="str">
            <v>Main Panel</v>
          </cell>
        </row>
      </sheetData>
      <sheetData sheetId="1329">
        <row r="52">
          <cell r="B52" t="str">
            <v>Main Panel</v>
          </cell>
        </row>
      </sheetData>
      <sheetData sheetId="1330">
        <row r="52">
          <cell r="B52" t="str">
            <v>Main Panel</v>
          </cell>
        </row>
      </sheetData>
      <sheetData sheetId="1331">
        <row r="52">
          <cell r="B52" t="str">
            <v>Main Panel</v>
          </cell>
        </row>
      </sheetData>
      <sheetData sheetId="1332">
        <row r="52">
          <cell r="B52" t="str">
            <v>Main Panel</v>
          </cell>
        </row>
      </sheetData>
      <sheetData sheetId="1333">
        <row r="52">
          <cell r="B52" t="str">
            <v>Main Panel</v>
          </cell>
        </row>
      </sheetData>
      <sheetData sheetId="1334">
        <row r="52">
          <cell r="B52" t="str">
            <v>Main Panel</v>
          </cell>
        </row>
      </sheetData>
      <sheetData sheetId="1335">
        <row r="52">
          <cell r="B52" t="str">
            <v>Main Panel</v>
          </cell>
        </row>
      </sheetData>
      <sheetData sheetId="1336">
        <row r="52">
          <cell r="B52" t="str">
            <v>Main Panel</v>
          </cell>
        </row>
      </sheetData>
      <sheetData sheetId="1337">
        <row r="52">
          <cell r="B52" t="str">
            <v>Main Panel</v>
          </cell>
        </row>
      </sheetData>
      <sheetData sheetId="1338">
        <row r="52">
          <cell r="B52" t="str">
            <v>Main Panel</v>
          </cell>
        </row>
      </sheetData>
      <sheetData sheetId="1339">
        <row r="52">
          <cell r="B52" t="str">
            <v>Main Panel</v>
          </cell>
        </row>
      </sheetData>
      <sheetData sheetId="1340">
        <row r="52">
          <cell r="B52" t="str">
            <v>Main Panel</v>
          </cell>
        </row>
      </sheetData>
      <sheetData sheetId="1341">
        <row r="52">
          <cell r="B52" t="str">
            <v>Main Panel</v>
          </cell>
        </row>
      </sheetData>
      <sheetData sheetId="1342">
        <row r="52">
          <cell r="B52" t="str">
            <v>Main Panel</v>
          </cell>
        </row>
      </sheetData>
      <sheetData sheetId="1343">
        <row r="52">
          <cell r="B52" t="str">
            <v>Main Panel</v>
          </cell>
        </row>
      </sheetData>
      <sheetData sheetId="1344">
        <row r="52">
          <cell r="B52" t="str">
            <v>Main Panel</v>
          </cell>
        </row>
      </sheetData>
      <sheetData sheetId="1345">
        <row r="52">
          <cell r="B52" t="str">
            <v>Main Panel</v>
          </cell>
        </row>
      </sheetData>
      <sheetData sheetId="1346">
        <row r="52">
          <cell r="B52" t="str">
            <v>Main Panel</v>
          </cell>
        </row>
      </sheetData>
      <sheetData sheetId="1347">
        <row r="52">
          <cell r="B52" t="str">
            <v>Main Panel</v>
          </cell>
        </row>
      </sheetData>
      <sheetData sheetId="1348">
        <row r="52">
          <cell r="B52" t="str">
            <v>Main Panel</v>
          </cell>
        </row>
      </sheetData>
      <sheetData sheetId="1349">
        <row r="52">
          <cell r="B52" t="str">
            <v>Main Panel</v>
          </cell>
        </row>
      </sheetData>
      <sheetData sheetId="1350">
        <row r="52">
          <cell r="B52" t="str">
            <v>Main Panel</v>
          </cell>
        </row>
      </sheetData>
      <sheetData sheetId="1351">
        <row r="52">
          <cell r="B52" t="str">
            <v>Main Panel</v>
          </cell>
        </row>
      </sheetData>
      <sheetData sheetId="1352">
        <row r="52">
          <cell r="B52" t="str">
            <v>Main Panel</v>
          </cell>
        </row>
      </sheetData>
      <sheetData sheetId="1353">
        <row r="52">
          <cell r="B52" t="str">
            <v>Main Panel</v>
          </cell>
        </row>
      </sheetData>
      <sheetData sheetId="1354">
        <row r="52">
          <cell r="B52" t="str">
            <v>Main Panel</v>
          </cell>
        </row>
      </sheetData>
      <sheetData sheetId="1355">
        <row r="52">
          <cell r="B52" t="str">
            <v>Main Panel</v>
          </cell>
        </row>
      </sheetData>
      <sheetData sheetId="1356">
        <row r="52">
          <cell r="B52" t="str">
            <v>Main Panel</v>
          </cell>
        </row>
      </sheetData>
      <sheetData sheetId="1357">
        <row r="52">
          <cell r="B52" t="str">
            <v>Main Panel</v>
          </cell>
        </row>
      </sheetData>
      <sheetData sheetId="1358">
        <row r="52">
          <cell r="B52" t="str">
            <v>Main Panel</v>
          </cell>
        </row>
      </sheetData>
      <sheetData sheetId="1359">
        <row r="52">
          <cell r="B52" t="str">
            <v>Main Panel</v>
          </cell>
        </row>
      </sheetData>
      <sheetData sheetId="1360">
        <row r="52">
          <cell r="B52" t="str">
            <v>Main Panel</v>
          </cell>
        </row>
      </sheetData>
      <sheetData sheetId="1361">
        <row r="52">
          <cell r="B52" t="str">
            <v>Main Panel</v>
          </cell>
        </row>
      </sheetData>
      <sheetData sheetId="1362">
        <row r="52">
          <cell r="B52" t="str">
            <v>Main Panel</v>
          </cell>
        </row>
      </sheetData>
      <sheetData sheetId="1363">
        <row r="52">
          <cell r="B52" t="str">
            <v>Main Panel</v>
          </cell>
        </row>
      </sheetData>
      <sheetData sheetId="1364">
        <row r="52">
          <cell r="B52" t="str">
            <v>Main Panel</v>
          </cell>
        </row>
      </sheetData>
      <sheetData sheetId="1365">
        <row r="52">
          <cell r="B52" t="str">
            <v>Main Panel</v>
          </cell>
        </row>
      </sheetData>
      <sheetData sheetId="1366">
        <row r="52">
          <cell r="B52" t="str">
            <v>Main Panel</v>
          </cell>
        </row>
      </sheetData>
      <sheetData sheetId="1367">
        <row r="52">
          <cell r="B52" t="str">
            <v>Main Panel</v>
          </cell>
        </row>
      </sheetData>
      <sheetData sheetId="1368">
        <row r="52">
          <cell r="B52" t="str">
            <v>Main Panel</v>
          </cell>
        </row>
      </sheetData>
      <sheetData sheetId="1369">
        <row r="52">
          <cell r="B52" t="str">
            <v>Main Panel</v>
          </cell>
        </row>
      </sheetData>
      <sheetData sheetId="1370">
        <row r="52">
          <cell r="B52" t="str">
            <v>Main Panel</v>
          </cell>
        </row>
      </sheetData>
      <sheetData sheetId="1371">
        <row r="52">
          <cell r="B52" t="str">
            <v>Main Panel</v>
          </cell>
        </row>
      </sheetData>
      <sheetData sheetId="1372">
        <row r="52">
          <cell r="B52" t="str">
            <v>Main Panel</v>
          </cell>
        </row>
      </sheetData>
      <sheetData sheetId="1373">
        <row r="52">
          <cell r="B52" t="str">
            <v>Main Panel</v>
          </cell>
        </row>
      </sheetData>
      <sheetData sheetId="1374">
        <row r="52">
          <cell r="B52" t="str">
            <v>Main Panel</v>
          </cell>
        </row>
      </sheetData>
      <sheetData sheetId="1375">
        <row r="52">
          <cell r="B52" t="str">
            <v>Main Panel</v>
          </cell>
        </row>
      </sheetData>
      <sheetData sheetId="1376">
        <row r="52">
          <cell r="B52" t="str">
            <v>Main Panel</v>
          </cell>
        </row>
      </sheetData>
      <sheetData sheetId="1377">
        <row r="52">
          <cell r="B52" t="str">
            <v>Main Panel</v>
          </cell>
        </row>
      </sheetData>
      <sheetData sheetId="1378">
        <row r="52">
          <cell r="B52" t="str">
            <v>Main Panel</v>
          </cell>
        </row>
      </sheetData>
      <sheetData sheetId="1379">
        <row r="52">
          <cell r="B52" t="str">
            <v>Main Panel</v>
          </cell>
        </row>
      </sheetData>
      <sheetData sheetId="1380">
        <row r="52">
          <cell r="B52" t="str">
            <v>Main Panel</v>
          </cell>
        </row>
      </sheetData>
      <sheetData sheetId="1381">
        <row r="52">
          <cell r="B52" t="str">
            <v>Main Panel</v>
          </cell>
        </row>
      </sheetData>
      <sheetData sheetId="1382">
        <row r="52">
          <cell r="B52" t="str">
            <v>Main Panel</v>
          </cell>
        </row>
      </sheetData>
      <sheetData sheetId="1383">
        <row r="52">
          <cell r="B52" t="str">
            <v>Main Panel</v>
          </cell>
        </row>
      </sheetData>
      <sheetData sheetId="1384">
        <row r="52">
          <cell r="B52" t="str">
            <v>Main Panel</v>
          </cell>
        </row>
      </sheetData>
      <sheetData sheetId="1385">
        <row r="52">
          <cell r="B52" t="str">
            <v>Main Panel</v>
          </cell>
        </row>
      </sheetData>
      <sheetData sheetId="1386">
        <row r="52">
          <cell r="B52" t="str">
            <v>Main Panel</v>
          </cell>
        </row>
      </sheetData>
      <sheetData sheetId="1387">
        <row r="52">
          <cell r="B52" t="str">
            <v>Main Panel</v>
          </cell>
        </row>
      </sheetData>
      <sheetData sheetId="1388">
        <row r="52">
          <cell r="B52" t="str">
            <v>Main Panel</v>
          </cell>
        </row>
      </sheetData>
      <sheetData sheetId="1389">
        <row r="52">
          <cell r="B52" t="str">
            <v>Main Panel</v>
          </cell>
        </row>
      </sheetData>
      <sheetData sheetId="1390">
        <row r="52">
          <cell r="B52" t="str">
            <v>Main Panel</v>
          </cell>
        </row>
      </sheetData>
      <sheetData sheetId="1391">
        <row r="52">
          <cell r="B52" t="str">
            <v>Main Panel</v>
          </cell>
        </row>
      </sheetData>
      <sheetData sheetId="1392">
        <row r="52">
          <cell r="B52" t="str">
            <v>Main Panel</v>
          </cell>
        </row>
      </sheetData>
      <sheetData sheetId="1393">
        <row r="52">
          <cell r="B52" t="str">
            <v>Main Panel</v>
          </cell>
        </row>
      </sheetData>
      <sheetData sheetId="1394">
        <row r="52">
          <cell r="B52" t="str">
            <v>Main Panel</v>
          </cell>
        </row>
      </sheetData>
      <sheetData sheetId="1395">
        <row r="52">
          <cell r="B52" t="str">
            <v>Main Panel</v>
          </cell>
        </row>
      </sheetData>
      <sheetData sheetId="1396">
        <row r="52">
          <cell r="B52" t="str">
            <v>Main Panel</v>
          </cell>
        </row>
      </sheetData>
      <sheetData sheetId="1397">
        <row r="52">
          <cell r="B52" t="str">
            <v>Main Panel</v>
          </cell>
        </row>
      </sheetData>
      <sheetData sheetId="1398">
        <row r="52">
          <cell r="B52" t="str">
            <v>Main Panel</v>
          </cell>
        </row>
      </sheetData>
      <sheetData sheetId="1399">
        <row r="52">
          <cell r="B52" t="str">
            <v>Main Panel</v>
          </cell>
        </row>
      </sheetData>
      <sheetData sheetId="1400">
        <row r="52">
          <cell r="B52" t="str">
            <v>Main Panel</v>
          </cell>
        </row>
      </sheetData>
      <sheetData sheetId="1401">
        <row r="52">
          <cell r="B52" t="str">
            <v>Main Panel</v>
          </cell>
        </row>
      </sheetData>
      <sheetData sheetId="1402">
        <row r="52">
          <cell r="B52" t="str">
            <v>Main Panel</v>
          </cell>
        </row>
      </sheetData>
      <sheetData sheetId="1403">
        <row r="52">
          <cell r="B52" t="str">
            <v>Main Panel</v>
          </cell>
        </row>
      </sheetData>
      <sheetData sheetId="1404">
        <row r="52">
          <cell r="B52" t="str">
            <v>Main Panel</v>
          </cell>
        </row>
      </sheetData>
      <sheetData sheetId="1405">
        <row r="52">
          <cell r="B52" t="str">
            <v>Main Panel</v>
          </cell>
        </row>
      </sheetData>
      <sheetData sheetId="1406">
        <row r="52">
          <cell r="B52" t="str">
            <v>Main Panel</v>
          </cell>
        </row>
      </sheetData>
      <sheetData sheetId="1407">
        <row r="52">
          <cell r="B52" t="str">
            <v>Main Panel</v>
          </cell>
        </row>
      </sheetData>
      <sheetData sheetId="1408">
        <row r="52">
          <cell r="B52" t="str">
            <v>Main Panel</v>
          </cell>
        </row>
      </sheetData>
      <sheetData sheetId="1409">
        <row r="52">
          <cell r="B52" t="str">
            <v>Main Panel</v>
          </cell>
        </row>
      </sheetData>
      <sheetData sheetId="1410">
        <row r="52">
          <cell r="B52" t="str">
            <v>Main Panel</v>
          </cell>
        </row>
      </sheetData>
      <sheetData sheetId="1411">
        <row r="52">
          <cell r="B52" t="str">
            <v>Main Panel</v>
          </cell>
        </row>
      </sheetData>
      <sheetData sheetId="1412">
        <row r="52">
          <cell r="B52" t="str">
            <v>Main Panel</v>
          </cell>
        </row>
      </sheetData>
      <sheetData sheetId="1413">
        <row r="52">
          <cell r="B52" t="str">
            <v>Main Panel</v>
          </cell>
        </row>
      </sheetData>
      <sheetData sheetId="1414">
        <row r="52">
          <cell r="B52" t="str">
            <v>Main Panel</v>
          </cell>
        </row>
      </sheetData>
      <sheetData sheetId="1415">
        <row r="52">
          <cell r="B52" t="str">
            <v>Main Panel</v>
          </cell>
        </row>
      </sheetData>
      <sheetData sheetId="1416">
        <row r="52">
          <cell r="B52" t="str">
            <v>Main Panel</v>
          </cell>
        </row>
      </sheetData>
      <sheetData sheetId="1417">
        <row r="52">
          <cell r="B52" t="str">
            <v>Main Panel</v>
          </cell>
        </row>
      </sheetData>
      <sheetData sheetId="1418">
        <row r="52">
          <cell r="B52" t="str">
            <v>Main Panel</v>
          </cell>
        </row>
      </sheetData>
      <sheetData sheetId="1419">
        <row r="52">
          <cell r="B52" t="str">
            <v>Main Panel</v>
          </cell>
        </row>
      </sheetData>
      <sheetData sheetId="1420">
        <row r="52">
          <cell r="B52" t="str">
            <v>Main Panel</v>
          </cell>
        </row>
      </sheetData>
      <sheetData sheetId="1421">
        <row r="52">
          <cell r="B52" t="str">
            <v>Main Panel</v>
          </cell>
        </row>
      </sheetData>
      <sheetData sheetId="1422">
        <row r="52">
          <cell r="B52" t="str">
            <v>Main Panel</v>
          </cell>
        </row>
      </sheetData>
      <sheetData sheetId="1423">
        <row r="52">
          <cell r="B52" t="str">
            <v>Main Panel</v>
          </cell>
        </row>
      </sheetData>
      <sheetData sheetId="1424">
        <row r="52">
          <cell r="B52" t="str">
            <v>Main Panel</v>
          </cell>
        </row>
      </sheetData>
      <sheetData sheetId="1425">
        <row r="52">
          <cell r="B52" t="str">
            <v>Main Panel</v>
          </cell>
        </row>
      </sheetData>
      <sheetData sheetId="1426">
        <row r="52">
          <cell r="B52" t="str">
            <v>Main Panel</v>
          </cell>
        </row>
      </sheetData>
      <sheetData sheetId="1427">
        <row r="52">
          <cell r="B52" t="str">
            <v>Main Panel</v>
          </cell>
        </row>
      </sheetData>
      <sheetData sheetId="1428">
        <row r="52">
          <cell r="B52" t="str">
            <v>Main Panel</v>
          </cell>
        </row>
      </sheetData>
      <sheetData sheetId="1429">
        <row r="52">
          <cell r="B52" t="str">
            <v>Main Panel</v>
          </cell>
        </row>
      </sheetData>
      <sheetData sheetId="1430">
        <row r="52">
          <cell r="B52" t="str">
            <v>Main Panel</v>
          </cell>
        </row>
      </sheetData>
      <sheetData sheetId="1431">
        <row r="52">
          <cell r="B52" t="str">
            <v>Main Panel</v>
          </cell>
        </row>
      </sheetData>
      <sheetData sheetId="1432">
        <row r="52">
          <cell r="B52" t="str">
            <v>Main Panel</v>
          </cell>
        </row>
      </sheetData>
      <sheetData sheetId="1433">
        <row r="52">
          <cell r="B52" t="str">
            <v>Main Panel</v>
          </cell>
        </row>
      </sheetData>
      <sheetData sheetId="1434">
        <row r="52">
          <cell r="B52" t="str">
            <v>Main Panel</v>
          </cell>
        </row>
      </sheetData>
      <sheetData sheetId="1435">
        <row r="52">
          <cell r="B52" t="str">
            <v>Main Panel</v>
          </cell>
        </row>
      </sheetData>
      <sheetData sheetId="1436">
        <row r="52">
          <cell r="B52" t="str">
            <v>Main Panel</v>
          </cell>
        </row>
      </sheetData>
      <sheetData sheetId="1437">
        <row r="52">
          <cell r="B52" t="str">
            <v>Main Panel</v>
          </cell>
        </row>
      </sheetData>
      <sheetData sheetId="1438">
        <row r="52">
          <cell r="B52" t="str">
            <v>Main Panel</v>
          </cell>
        </row>
      </sheetData>
      <sheetData sheetId="1439">
        <row r="52">
          <cell r="B52" t="str">
            <v>Main Panel</v>
          </cell>
        </row>
      </sheetData>
      <sheetData sheetId="1440">
        <row r="52">
          <cell r="B52" t="str">
            <v>Main Panel</v>
          </cell>
        </row>
      </sheetData>
      <sheetData sheetId="1441">
        <row r="52">
          <cell r="B52" t="str">
            <v>Main Panel</v>
          </cell>
        </row>
      </sheetData>
      <sheetData sheetId="1442">
        <row r="52">
          <cell r="B52" t="str">
            <v>Main Panel</v>
          </cell>
        </row>
      </sheetData>
      <sheetData sheetId="1443">
        <row r="52">
          <cell r="B52" t="str">
            <v>Main Panel</v>
          </cell>
        </row>
      </sheetData>
      <sheetData sheetId="1444">
        <row r="52">
          <cell r="B52" t="str">
            <v>Main Panel</v>
          </cell>
        </row>
      </sheetData>
      <sheetData sheetId="1445">
        <row r="52">
          <cell r="B52" t="str">
            <v>Main Panel</v>
          </cell>
        </row>
      </sheetData>
      <sheetData sheetId="1446">
        <row r="52">
          <cell r="B52" t="str">
            <v>Main Panel</v>
          </cell>
        </row>
      </sheetData>
      <sheetData sheetId="1447">
        <row r="52">
          <cell r="B52" t="str">
            <v>Main Panel</v>
          </cell>
        </row>
      </sheetData>
      <sheetData sheetId="1448">
        <row r="52">
          <cell r="B52" t="str">
            <v>Main Panel</v>
          </cell>
        </row>
      </sheetData>
      <sheetData sheetId="1449">
        <row r="52">
          <cell r="B52" t="str">
            <v>Main Panel</v>
          </cell>
        </row>
      </sheetData>
      <sheetData sheetId="1450">
        <row r="52">
          <cell r="B52" t="str">
            <v>Main Panel</v>
          </cell>
        </row>
      </sheetData>
      <sheetData sheetId="1451">
        <row r="52">
          <cell r="B52" t="str">
            <v>Main Panel</v>
          </cell>
        </row>
      </sheetData>
      <sheetData sheetId="1452">
        <row r="52">
          <cell r="B52" t="str">
            <v>Main Panel</v>
          </cell>
        </row>
      </sheetData>
      <sheetData sheetId="1453">
        <row r="52">
          <cell r="B52" t="str">
            <v>Main Panel</v>
          </cell>
        </row>
      </sheetData>
      <sheetData sheetId="1454">
        <row r="52">
          <cell r="B52" t="str">
            <v>Main Panel</v>
          </cell>
        </row>
      </sheetData>
      <sheetData sheetId="1455">
        <row r="52">
          <cell r="B52" t="str">
            <v>Main Panel</v>
          </cell>
        </row>
      </sheetData>
      <sheetData sheetId="1456">
        <row r="52">
          <cell r="B52" t="str">
            <v>Main Panel</v>
          </cell>
        </row>
      </sheetData>
      <sheetData sheetId="1457">
        <row r="52">
          <cell r="B52" t="str">
            <v>Main Panel</v>
          </cell>
        </row>
      </sheetData>
      <sheetData sheetId="1458">
        <row r="52">
          <cell r="B52" t="str">
            <v>Main Panel</v>
          </cell>
        </row>
      </sheetData>
      <sheetData sheetId="1459">
        <row r="52">
          <cell r="B52" t="str">
            <v>Main Panel</v>
          </cell>
        </row>
      </sheetData>
      <sheetData sheetId="1460">
        <row r="52">
          <cell r="B52" t="str">
            <v>Main Panel</v>
          </cell>
        </row>
      </sheetData>
      <sheetData sheetId="1461">
        <row r="52">
          <cell r="B52" t="str">
            <v>Main Panel</v>
          </cell>
        </row>
      </sheetData>
      <sheetData sheetId="1462">
        <row r="52">
          <cell r="B52" t="str">
            <v>Main Panel</v>
          </cell>
        </row>
      </sheetData>
      <sheetData sheetId="1463">
        <row r="52">
          <cell r="B52" t="str">
            <v>Main Panel</v>
          </cell>
        </row>
      </sheetData>
      <sheetData sheetId="1464">
        <row r="52">
          <cell r="B52" t="str">
            <v>Main Panel</v>
          </cell>
        </row>
      </sheetData>
      <sheetData sheetId="1465">
        <row r="52">
          <cell r="B52" t="str">
            <v>Main Panel</v>
          </cell>
        </row>
      </sheetData>
      <sheetData sheetId="1466">
        <row r="52">
          <cell r="B52" t="str">
            <v>Main Panel</v>
          </cell>
        </row>
      </sheetData>
      <sheetData sheetId="1467">
        <row r="52">
          <cell r="B52" t="str">
            <v>Main Panel</v>
          </cell>
        </row>
      </sheetData>
      <sheetData sheetId="1468">
        <row r="52">
          <cell r="B52" t="str">
            <v>Main Panel</v>
          </cell>
        </row>
      </sheetData>
      <sheetData sheetId="1469">
        <row r="52">
          <cell r="B52" t="str">
            <v>Main Panel</v>
          </cell>
        </row>
      </sheetData>
      <sheetData sheetId="1470">
        <row r="52">
          <cell r="B52" t="str">
            <v>Main Panel</v>
          </cell>
        </row>
      </sheetData>
      <sheetData sheetId="1471">
        <row r="52">
          <cell r="B52" t="str">
            <v>Main Panel</v>
          </cell>
        </row>
      </sheetData>
      <sheetData sheetId="1472">
        <row r="52">
          <cell r="B52" t="str">
            <v>Main Panel</v>
          </cell>
        </row>
      </sheetData>
      <sheetData sheetId="1473">
        <row r="52">
          <cell r="B52" t="str">
            <v>Main Panel</v>
          </cell>
        </row>
      </sheetData>
      <sheetData sheetId="1474">
        <row r="52">
          <cell r="B52" t="str">
            <v>Main Panel</v>
          </cell>
        </row>
      </sheetData>
      <sheetData sheetId="1475">
        <row r="52">
          <cell r="B52" t="str">
            <v>Main Panel</v>
          </cell>
        </row>
      </sheetData>
      <sheetData sheetId="1476">
        <row r="52">
          <cell r="B52" t="str">
            <v>Main Panel</v>
          </cell>
        </row>
      </sheetData>
      <sheetData sheetId="1477">
        <row r="52">
          <cell r="B52" t="str">
            <v>Main Panel</v>
          </cell>
        </row>
      </sheetData>
      <sheetData sheetId="1478">
        <row r="52">
          <cell r="B52" t="str">
            <v>Main Panel</v>
          </cell>
        </row>
      </sheetData>
      <sheetData sheetId="1479">
        <row r="52">
          <cell r="B52" t="str">
            <v>Main Panel</v>
          </cell>
        </row>
      </sheetData>
      <sheetData sheetId="1480">
        <row r="52">
          <cell r="B52" t="str">
            <v>Main Panel</v>
          </cell>
        </row>
      </sheetData>
      <sheetData sheetId="1481">
        <row r="52">
          <cell r="B52" t="str">
            <v>Main Panel</v>
          </cell>
        </row>
      </sheetData>
      <sheetData sheetId="1482">
        <row r="52">
          <cell r="B52" t="str">
            <v>Main Panel</v>
          </cell>
        </row>
      </sheetData>
      <sheetData sheetId="1483">
        <row r="52">
          <cell r="B52" t="str">
            <v>Main Panel</v>
          </cell>
        </row>
      </sheetData>
      <sheetData sheetId="1484">
        <row r="52">
          <cell r="B52" t="str">
            <v>Main Panel</v>
          </cell>
        </row>
      </sheetData>
      <sheetData sheetId="1485">
        <row r="52">
          <cell r="B52" t="str">
            <v>Main Panel</v>
          </cell>
        </row>
      </sheetData>
      <sheetData sheetId="1486">
        <row r="52">
          <cell r="B52" t="str">
            <v>Main Panel</v>
          </cell>
        </row>
      </sheetData>
      <sheetData sheetId="1487">
        <row r="52">
          <cell r="B52" t="str">
            <v>Main Panel</v>
          </cell>
        </row>
      </sheetData>
      <sheetData sheetId="1488">
        <row r="52">
          <cell r="B52" t="str">
            <v>Main Panel</v>
          </cell>
        </row>
      </sheetData>
      <sheetData sheetId="1489">
        <row r="52">
          <cell r="B52" t="str">
            <v>Main Panel</v>
          </cell>
        </row>
      </sheetData>
      <sheetData sheetId="1490">
        <row r="52">
          <cell r="B52" t="str">
            <v>Main Panel</v>
          </cell>
        </row>
      </sheetData>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sheetData sheetId="1516"/>
      <sheetData sheetId="1517">
        <row r="52">
          <cell r="B52" t="str">
            <v>Main Panel</v>
          </cell>
        </row>
      </sheetData>
      <sheetData sheetId="1518">
        <row r="52">
          <cell r="B52" t="str">
            <v>Main Panel</v>
          </cell>
        </row>
      </sheetData>
      <sheetData sheetId="1519">
        <row r="52">
          <cell r="B52" t="str">
            <v>Main Panel</v>
          </cell>
        </row>
      </sheetData>
      <sheetData sheetId="1520">
        <row r="52">
          <cell r="B52" t="str">
            <v>Main Panel</v>
          </cell>
        </row>
      </sheetData>
      <sheetData sheetId="1521">
        <row r="52">
          <cell r="B52" t="str">
            <v>Main Panel</v>
          </cell>
        </row>
      </sheetData>
      <sheetData sheetId="1522">
        <row r="52">
          <cell r="B52" t="str">
            <v>Main Panel</v>
          </cell>
        </row>
      </sheetData>
      <sheetData sheetId="1523">
        <row r="52">
          <cell r="B52" t="str">
            <v>Main Panel</v>
          </cell>
        </row>
      </sheetData>
      <sheetData sheetId="1524">
        <row r="52">
          <cell r="B52" t="str">
            <v>Main Panel</v>
          </cell>
        </row>
      </sheetData>
      <sheetData sheetId="1525">
        <row r="52">
          <cell r="B52" t="str">
            <v>Main Panel</v>
          </cell>
        </row>
      </sheetData>
      <sheetData sheetId="1526">
        <row r="52">
          <cell r="B52" t="str">
            <v>Main Panel</v>
          </cell>
        </row>
      </sheetData>
      <sheetData sheetId="1527">
        <row r="52">
          <cell r="B52" t="str">
            <v>Main Panel</v>
          </cell>
        </row>
      </sheetData>
      <sheetData sheetId="1528">
        <row r="52">
          <cell r="B52" t="str">
            <v>Main Panel</v>
          </cell>
        </row>
      </sheetData>
      <sheetData sheetId="1529">
        <row r="52">
          <cell r="B52" t="str">
            <v>Main Panel</v>
          </cell>
        </row>
      </sheetData>
      <sheetData sheetId="1530">
        <row r="52">
          <cell r="B52" t="str">
            <v>Main Panel</v>
          </cell>
        </row>
      </sheetData>
      <sheetData sheetId="1531">
        <row r="52">
          <cell r="B52" t="str">
            <v>Main Panel</v>
          </cell>
        </row>
      </sheetData>
      <sheetData sheetId="1532">
        <row r="52">
          <cell r="B52" t="str">
            <v>Main Panel</v>
          </cell>
        </row>
      </sheetData>
      <sheetData sheetId="1533">
        <row r="52">
          <cell r="B52" t="str">
            <v>Main Panel</v>
          </cell>
        </row>
      </sheetData>
      <sheetData sheetId="1534">
        <row r="52">
          <cell r="B52" t="str">
            <v>Main Panel</v>
          </cell>
        </row>
      </sheetData>
      <sheetData sheetId="1535">
        <row r="52">
          <cell r="B52" t="str">
            <v>Main Panel</v>
          </cell>
        </row>
      </sheetData>
      <sheetData sheetId="1536">
        <row r="52">
          <cell r="B52" t="str">
            <v>Main Panel</v>
          </cell>
        </row>
      </sheetData>
      <sheetData sheetId="1537">
        <row r="52">
          <cell r="B52" t="str">
            <v>Main Panel</v>
          </cell>
        </row>
      </sheetData>
      <sheetData sheetId="1538">
        <row r="52">
          <cell r="B52" t="str">
            <v>Main Panel</v>
          </cell>
        </row>
      </sheetData>
      <sheetData sheetId="1539">
        <row r="52">
          <cell r="B52" t="str">
            <v>Main Panel</v>
          </cell>
        </row>
      </sheetData>
      <sheetData sheetId="1540">
        <row r="52">
          <cell r="B52" t="str">
            <v>Main Panel</v>
          </cell>
        </row>
      </sheetData>
      <sheetData sheetId="1541">
        <row r="52">
          <cell r="B52" t="str">
            <v>Main Panel</v>
          </cell>
        </row>
      </sheetData>
      <sheetData sheetId="1542">
        <row r="52">
          <cell r="B52" t="str">
            <v>Main Panel</v>
          </cell>
        </row>
      </sheetData>
      <sheetData sheetId="1543">
        <row r="52">
          <cell r="B52" t="str">
            <v>Main Panel</v>
          </cell>
        </row>
      </sheetData>
      <sheetData sheetId="1544">
        <row r="52">
          <cell r="B52" t="str">
            <v>Main Panel</v>
          </cell>
        </row>
      </sheetData>
      <sheetData sheetId="1545">
        <row r="52">
          <cell r="B52" t="str">
            <v>Main Panel</v>
          </cell>
        </row>
      </sheetData>
      <sheetData sheetId="1546">
        <row r="52">
          <cell r="B52" t="str">
            <v>Main Panel</v>
          </cell>
        </row>
      </sheetData>
      <sheetData sheetId="1547">
        <row r="52">
          <cell r="B52" t="str">
            <v>Main Panel</v>
          </cell>
        </row>
      </sheetData>
      <sheetData sheetId="1548">
        <row r="52">
          <cell r="B52" t="str">
            <v>Main Panel</v>
          </cell>
        </row>
      </sheetData>
      <sheetData sheetId="1549">
        <row r="52">
          <cell r="B52" t="str">
            <v>Main Panel</v>
          </cell>
        </row>
      </sheetData>
      <sheetData sheetId="1550">
        <row r="52">
          <cell r="B52" t="str">
            <v>Main Panel</v>
          </cell>
        </row>
      </sheetData>
      <sheetData sheetId="1551">
        <row r="52">
          <cell r="B52" t="str">
            <v>Main Panel</v>
          </cell>
        </row>
      </sheetData>
      <sheetData sheetId="1552">
        <row r="52">
          <cell r="B52" t="str">
            <v>Main Panel</v>
          </cell>
        </row>
      </sheetData>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row r="52">
          <cell r="B52" t="str">
            <v>Main Panel</v>
          </cell>
        </row>
      </sheetData>
      <sheetData sheetId="1596">
        <row r="52">
          <cell r="B52" t="str">
            <v>Main Panel</v>
          </cell>
        </row>
      </sheetData>
      <sheetData sheetId="1597">
        <row r="52">
          <cell r="B52" t="str">
            <v>Main Panel</v>
          </cell>
        </row>
      </sheetData>
      <sheetData sheetId="1598">
        <row r="52">
          <cell r="B52" t="str">
            <v>Main Panel</v>
          </cell>
        </row>
      </sheetData>
      <sheetData sheetId="1599">
        <row r="52">
          <cell r="B52" t="str">
            <v>Main Panel</v>
          </cell>
        </row>
      </sheetData>
      <sheetData sheetId="1600">
        <row r="52">
          <cell r="B52" t="str">
            <v>Main Panel</v>
          </cell>
        </row>
      </sheetData>
      <sheetData sheetId="1601">
        <row r="52">
          <cell r="B52" t="str">
            <v>Main Panel</v>
          </cell>
        </row>
      </sheetData>
      <sheetData sheetId="1602">
        <row r="52">
          <cell r="B52" t="str">
            <v>Main Panel</v>
          </cell>
        </row>
      </sheetData>
      <sheetData sheetId="1603">
        <row r="52">
          <cell r="B52" t="str">
            <v>Main Panel</v>
          </cell>
        </row>
      </sheetData>
      <sheetData sheetId="1604">
        <row r="52">
          <cell r="B52" t="str">
            <v>Main Panel</v>
          </cell>
        </row>
      </sheetData>
      <sheetData sheetId="1605">
        <row r="52">
          <cell r="B52" t="str">
            <v>Main Panel</v>
          </cell>
        </row>
      </sheetData>
      <sheetData sheetId="1606">
        <row r="52">
          <cell r="B52" t="str">
            <v>Main Panel</v>
          </cell>
        </row>
      </sheetData>
      <sheetData sheetId="1607">
        <row r="52">
          <cell r="B52" t="str">
            <v>Main Panel</v>
          </cell>
        </row>
      </sheetData>
      <sheetData sheetId="1608">
        <row r="52">
          <cell r="B52" t="str">
            <v>Main Panel</v>
          </cell>
        </row>
      </sheetData>
      <sheetData sheetId="1609">
        <row r="52">
          <cell r="B52" t="str">
            <v>Main Panel</v>
          </cell>
        </row>
      </sheetData>
      <sheetData sheetId="1610">
        <row r="52">
          <cell r="B52" t="str">
            <v>Main Panel</v>
          </cell>
        </row>
      </sheetData>
      <sheetData sheetId="1611">
        <row r="52">
          <cell r="B52" t="str">
            <v>Main Panel</v>
          </cell>
        </row>
      </sheetData>
      <sheetData sheetId="1612">
        <row r="52">
          <cell r="B52" t="str">
            <v>Main Panel</v>
          </cell>
        </row>
      </sheetData>
      <sheetData sheetId="1613">
        <row r="52">
          <cell r="B52" t="str">
            <v>Main Panel</v>
          </cell>
        </row>
      </sheetData>
      <sheetData sheetId="1614">
        <row r="52">
          <cell r="B52" t="str">
            <v>Main Panel</v>
          </cell>
        </row>
      </sheetData>
      <sheetData sheetId="1615">
        <row r="52">
          <cell r="B52" t="str">
            <v>Main Panel</v>
          </cell>
        </row>
      </sheetData>
      <sheetData sheetId="1616">
        <row r="52">
          <cell r="B52" t="str">
            <v>Main Panel</v>
          </cell>
        </row>
      </sheetData>
      <sheetData sheetId="1617">
        <row r="52">
          <cell r="B52" t="str">
            <v>Main Panel</v>
          </cell>
        </row>
      </sheetData>
      <sheetData sheetId="1618">
        <row r="52">
          <cell r="B52" t="str">
            <v>Main Panel</v>
          </cell>
        </row>
      </sheetData>
      <sheetData sheetId="1619">
        <row r="52">
          <cell r="B52" t="str">
            <v>Main Panel</v>
          </cell>
        </row>
      </sheetData>
      <sheetData sheetId="1620">
        <row r="52">
          <cell r="B52" t="str">
            <v>Main Panel</v>
          </cell>
        </row>
      </sheetData>
      <sheetData sheetId="1621">
        <row r="52">
          <cell r="B52" t="str">
            <v>Main Panel</v>
          </cell>
        </row>
      </sheetData>
      <sheetData sheetId="1622">
        <row r="52">
          <cell r="B52" t="str">
            <v>Main Panel</v>
          </cell>
        </row>
      </sheetData>
      <sheetData sheetId="1623">
        <row r="52">
          <cell r="B52" t="str">
            <v>Main Panel</v>
          </cell>
        </row>
      </sheetData>
      <sheetData sheetId="1624">
        <row r="52">
          <cell r="B52" t="str">
            <v>Main Panel</v>
          </cell>
        </row>
      </sheetData>
      <sheetData sheetId="1625">
        <row r="52">
          <cell r="B52" t="str">
            <v>Main Panel</v>
          </cell>
        </row>
      </sheetData>
      <sheetData sheetId="1626">
        <row r="52">
          <cell r="B52" t="str">
            <v>Main Panel</v>
          </cell>
        </row>
      </sheetData>
      <sheetData sheetId="1627">
        <row r="52">
          <cell r="B52" t="str">
            <v>Main Panel</v>
          </cell>
        </row>
      </sheetData>
      <sheetData sheetId="1628">
        <row r="52">
          <cell r="B52" t="str">
            <v>Main Panel</v>
          </cell>
        </row>
      </sheetData>
      <sheetData sheetId="1629">
        <row r="52">
          <cell r="B52" t="str">
            <v>Main Panel</v>
          </cell>
        </row>
      </sheetData>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ow r="52">
          <cell r="B52" t="str">
            <v>Main Panel</v>
          </cell>
        </row>
      </sheetData>
      <sheetData sheetId="1685">
        <row r="52">
          <cell r="B52" t="str">
            <v>Main Panel</v>
          </cell>
        </row>
      </sheetData>
      <sheetData sheetId="1686">
        <row r="52">
          <cell r="B52" t="str">
            <v>Main Panel</v>
          </cell>
        </row>
      </sheetData>
      <sheetData sheetId="1687">
        <row r="52">
          <cell r="B52" t="str">
            <v>Main Panel</v>
          </cell>
        </row>
      </sheetData>
      <sheetData sheetId="1688">
        <row r="52">
          <cell r="B52" t="str">
            <v>Main Panel</v>
          </cell>
        </row>
      </sheetData>
      <sheetData sheetId="1689">
        <row r="52">
          <cell r="B52" t="str">
            <v>Main Panel</v>
          </cell>
        </row>
      </sheetData>
      <sheetData sheetId="1690">
        <row r="52">
          <cell r="B52" t="str">
            <v>Main Panel</v>
          </cell>
        </row>
      </sheetData>
      <sheetData sheetId="1691">
        <row r="52">
          <cell r="B52" t="str">
            <v>Main Panel</v>
          </cell>
        </row>
      </sheetData>
      <sheetData sheetId="1692">
        <row r="52">
          <cell r="B52" t="str">
            <v>Main Panel</v>
          </cell>
        </row>
      </sheetData>
      <sheetData sheetId="1693">
        <row r="52">
          <cell r="B52" t="str">
            <v>Main Panel</v>
          </cell>
        </row>
      </sheetData>
      <sheetData sheetId="1694">
        <row r="52">
          <cell r="B52" t="str">
            <v>Main Panel</v>
          </cell>
        </row>
      </sheetData>
      <sheetData sheetId="1695">
        <row r="52">
          <cell r="B52" t="str">
            <v>Main Panel</v>
          </cell>
        </row>
      </sheetData>
      <sheetData sheetId="1696">
        <row r="52">
          <cell r="B52" t="str">
            <v>Main Panel</v>
          </cell>
        </row>
      </sheetData>
      <sheetData sheetId="1697">
        <row r="52">
          <cell r="B52" t="str">
            <v>Main Panel</v>
          </cell>
        </row>
      </sheetData>
      <sheetData sheetId="1698">
        <row r="52">
          <cell r="B52" t="str">
            <v>Main Panel</v>
          </cell>
        </row>
      </sheetData>
      <sheetData sheetId="1699">
        <row r="52">
          <cell r="B52" t="str">
            <v>Main Panel</v>
          </cell>
        </row>
      </sheetData>
      <sheetData sheetId="1700">
        <row r="52">
          <cell r="B52" t="str">
            <v>Main Panel</v>
          </cell>
        </row>
      </sheetData>
      <sheetData sheetId="1701">
        <row r="52">
          <cell r="B52" t="str">
            <v>Main Panel</v>
          </cell>
        </row>
      </sheetData>
      <sheetData sheetId="1702">
        <row r="52">
          <cell r="B52" t="str">
            <v>Main Panel</v>
          </cell>
        </row>
      </sheetData>
      <sheetData sheetId="1703">
        <row r="52">
          <cell r="B52" t="str">
            <v>Main Panel</v>
          </cell>
        </row>
      </sheetData>
      <sheetData sheetId="1704">
        <row r="52">
          <cell r="B52" t="str">
            <v>Main Panel</v>
          </cell>
        </row>
      </sheetData>
      <sheetData sheetId="1705">
        <row r="52">
          <cell r="B52" t="str">
            <v>Main Panel</v>
          </cell>
        </row>
      </sheetData>
      <sheetData sheetId="1706">
        <row r="52">
          <cell r="B52" t="str">
            <v>Main Panel</v>
          </cell>
        </row>
      </sheetData>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sheetData sheetId="1749"/>
      <sheetData sheetId="1750">
        <row r="52">
          <cell r="B52" t="str">
            <v>Main Panel</v>
          </cell>
        </row>
      </sheetData>
      <sheetData sheetId="1751">
        <row r="52">
          <cell r="B52" t="str">
            <v>Main Panel</v>
          </cell>
        </row>
      </sheetData>
      <sheetData sheetId="1752">
        <row r="52">
          <cell r="B52" t="str">
            <v>Main Panel</v>
          </cell>
        </row>
      </sheetData>
      <sheetData sheetId="1753">
        <row r="52">
          <cell r="B52" t="str">
            <v>Main Panel</v>
          </cell>
        </row>
      </sheetData>
      <sheetData sheetId="1754">
        <row r="52">
          <cell r="B52" t="str">
            <v>Main Panel</v>
          </cell>
        </row>
      </sheetData>
      <sheetData sheetId="1755">
        <row r="52">
          <cell r="B52" t="str">
            <v>Main Panel</v>
          </cell>
        </row>
      </sheetData>
      <sheetData sheetId="1756">
        <row r="52">
          <cell r="B52" t="str">
            <v>Main Panel</v>
          </cell>
        </row>
      </sheetData>
      <sheetData sheetId="1757">
        <row r="52">
          <cell r="B52" t="str">
            <v>Main Panel</v>
          </cell>
        </row>
      </sheetData>
      <sheetData sheetId="1758">
        <row r="52">
          <cell r="B52" t="str">
            <v>Main Panel</v>
          </cell>
        </row>
      </sheetData>
      <sheetData sheetId="1759"/>
      <sheetData sheetId="1760">
        <row r="52">
          <cell r="B52" t="str">
            <v>Main Panel</v>
          </cell>
        </row>
      </sheetData>
      <sheetData sheetId="1761">
        <row r="52">
          <cell r="B52" t="str">
            <v>Main Panel</v>
          </cell>
        </row>
      </sheetData>
      <sheetData sheetId="1762">
        <row r="52">
          <cell r="B52" t="str">
            <v>Main Panel</v>
          </cell>
        </row>
      </sheetData>
      <sheetData sheetId="1763">
        <row r="52">
          <cell r="B52" t="str">
            <v>Main Panel</v>
          </cell>
        </row>
      </sheetData>
      <sheetData sheetId="1764"/>
      <sheetData sheetId="1765">
        <row r="52">
          <cell r="B52" t="str">
            <v>Main Panel</v>
          </cell>
        </row>
      </sheetData>
      <sheetData sheetId="1766"/>
      <sheetData sheetId="1767"/>
      <sheetData sheetId="1768"/>
      <sheetData sheetId="1769"/>
      <sheetData sheetId="1770"/>
      <sheetData sheetId="1771"/>
      <sheetData sheetId="1772"/>
      <sheetData sheetId="1773"/>
      <sheetData sheetId="1774"/>
      <sheetData sheetId="1775">
        <row r="52">
          <cell r="B52" t="str">
            <v>Main Panel</v>
          </cell>
        </row>
      </sheetData>
      <sheetData sheetId="1776">
        <row r="52">
          <cell r="B52" t="str">
            <v>Main Panel</v>
          </cell>
        </row>
      </sheetData>
      <sheetData sheetId="1777">
        <row r="52">
          <cell r="B52" t="str">
            <v>Main Panel</v>
          </cell>
        </row>
      </sheetData>
      <sheetData sheetId="1778">
        <row r="52">
          <cell r="B52" t="str">
            <v>Main Panel</v>
          </cell>
        </row>
      </sheetData>
      <sheetData sheetId="1779">
        <row r="52">
          <cell r="B52" t="str">
            <v>Main Panel</v>
          </cell>
        </row>
      </sheetData>
      <sheetData sheetId="1780">
        <row r="52">
          <cell r="B52" t="str">
            <v>Main Panel</v>
          </cell>
        </row>
      </sheetData>
      <sheetData sheetId="1781">
        <row r="52">
          <cell r="B52" t="str">
            <v>Main Panel</v>
          </cell>
        </row>
      </sheetData>
      <sheetData sheetId="1782">
        <row r="52">
          <cell r="B52" t="str">
            <v>Main Panel</v>
          </cell>
        </row>
      </sheetData>
      <sheetData sheetId="1783">
        <row r="52">
          <cell r="B52" t="str">
            <v>Main Panel</v>
          </cell>
        </row>
      </sheetData>
      <sheetData sheetId="1784">
        <row r="52">
          <cell r="B52" t="str">
            <v>Main Panel</v>
          </cell>
        </row>
      </sheetData>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ow r="52">
          <cell r="B52" t="str">
            <v>Main Panel</v>
          </cell>
        </row>
      </sheetData>
      <sheetData sheetId="1902">
        <row r="52">
          <cell r="B52" t="str">
            <v>Main Panel</v>
          </cell>
        </row>
      </sheetData>
      <sheetData sheetId="1903">
        <row r="52">
          <cell r="B52" t="str">
            <v>Main Panel</v>
          </cell>
        </row>
      </sheetData>
      <sheetData sheetId="1904">
        <row r="52">
          <cell r="B52" t="str">
            <v>Main Panel</v>
          </cell>
        </row>
      </sheetData>
      <sheetData sheetId="1905">
        <row r="52">
          <cell r="B52" t="str">
            <v>Main Panel</v>
          </cell>
        </row>
      </sheetData>
      <sheetData sheetId="1906">
        <row r="52">
          <cell r="B52" t="str">
            <v>Main Panel</v>
          </cell>
        </row>
      </sheetData>
      <sheetData sheetId="1907">
        <row r="52">
          <cell r="B52" t="str">
            <v>Main Panel</v>
          </cell>
        </row>
      </sheetData>
      <sheetData sheetId="1908">
        <row r="52">
          <cell r="B52" t="str">
            <v>Main Panel</v>
          </cell>
        </row>
      </sheetData>
      <sheetData sheetId="1909">
        <row r="52">
          <cell r="B52" t="str">
            <v>Main Panel</v>
          </cell>
        </row>
      </sheetData>
      <sheetData sheetId="1910">
        <row r="52">
          <cell r="B52" t="str">
            <v>Main Panel</v>
          </cell>
        </row>
      </sheetData>
      <sheetData sheetId="1911">
        <row r="52">
          <cell r="B52" t="str">
            <v>Main Panel</v>
          </cell>
        </row>
      </sheetData>
      <sheetData sheetId="1912">
        <row r="52">
          <cell r="B52" t="str">
            <v>Main Panel</v>
          </cell>
        </row>
      </sheetData>
      <sheetData sheetId="1913">
        <row r="52">
          <cell r="B52" t="str">
            <v>Main Panel</v>
          </cell>
        </row>
      </sheetData>
      <sheetData sheetId="1914">
        <row r="52">
          <cell r="B52" t="str">
            <v>Main Panel</v>
          </cell>
        </row>
      </sheetData>
      <sheetData sheetId="1915">
        <row r="52">
          <cell r="B52" t="str">
            <v>Main Panel</v>
          </cell>
        </row>
      </sheetData>
      <sheetData sheetId="1916">
        <row r="52">
          <cell r="B52" t="str">
            <v>Main Panel</v>
          </cell>
        </row>
      </sheetData>
      <sheetData sheetId="1917">
        <row r="52">
          <cell r="B52" t="str">
            <v>Main Panel</v>
          </cell>
        </row>
      </sheetData>
      <sheetData sheetId="1918">
        <row r="52">
          <cell r="B52" t="str">
            <v>Main Panel</v>
          </cell>
        </row>
      </sheetData>
      <sheetData sheetId="1919">
        <row r="52">
          <cell r="B52" t="str">
            <v>Main Panel</v>
          </cell>
        </row>
      </sheetData>
      <sheetData sheetId="1920">
        <row r="52">
          <cell r="B52" t="str">
            <v>Main Panel</v>
          </cell>
        </row>
      </sheetData>
      <sheetData sheetId="1921">
        <row r="52">
          <cell r="B52" t="str">
            <v>Main Panel</v>
          </cell>
        </row>
      </sheetData>
      <sheetData sheetId="1922">
        <row r="52">
          <cell r="B52" t="str">
            <v>Main Panel</v>
          </cell>
        </row>
      </sheetData>
      <sheetData sheetId="1923">
        <row r="52">
          <cell r="B52" t="str">
            <v>Main Panel</v>
          </cell>
        </row>
      </sheetData>
      <sheetData sheetId="1924">
        <row r="52">
          <cell r="B52" t="str">
            <v>Main Panel</v>
          </cell>
        </row>
      </sheetData>
      <sheetData sheetId="1925">
        <row r="52">
          <cell r="B52" t="str">
            <v>Main Panel</v>
          </cell>
        </row>
      </sheetData>
      <sheetData sheetId="1926">
        <row r="52">
          <cell r="B52" t="str">
            <v>Main Panel</v>
          </cell>
        </row>
      </sheetData>
      <sheetData sheetId="1927">
        <row r="52">
          <cell r="B52" t="str">
            <v>Main Panel</v>
          </cell>
        </row>
      </sheetData>
      <sheetData sheetId="1928">
        <row r="52">
          <cell r="B52" t="str">
            <v>Main Panel</v>
          </cell>
        </row>
      </sheetData>
      <sheetData sheetId="1929">
        <row r="52">
          <cell r="B52" t="str">
            <v>Main Panel</v>
          </cell>
        </row>
      </sheetData>
      <sheetData sheetId="1930">
        <row r="52">
          <cell r="B52" t="str">
            <v>Main Panel</v>
          </cell>
        </row>
      </sheetData>
      <sheetData sheetId="1931">
        <row r="52">
          <cell r="B52" t="str">
            <v>Main Panel</v>
          </cell>
        </row>
      </sheetData>
      <sheetData sheetId="1932">
        <row r="52">
          <cell r="B52" t="str">
            <v>Main Panel</v>
          </cell>
        </row>
      </sheetData>
      <sheetData sheetId="1933">
        <row r="52">
          <cell r="B52" t="str">
            <v>Main Panel</v>
          </cell>
        </row>
      </sheetData>
      <sheetData sheetId="1934">
        <row r="52">
          <cell r="B52" t="str">
            <v>Main Panel</v>
          </cell>
        </row>
      </sheetData>
      <sheetData sheetId="1935">
        <row r="52">
          <cell r="B52" t="str">
            <v>Main Panel</v>
          </cell>
        </row>
      </sheetData>
      <sheetData sheetId="1936">
        <row r="52">
          <cell r="B52" t="str">
            <v>Main Panel</v>
          </cell>
        </row>
      </sheetData>
      <sheetData sheetId="1937">
        <row r="52">
          <cell r="B52" t="str">
            <v>Main Panel</v>
          </cell>
        </row>
      </sheetData>
      <sheetData sheetId="1938">
        <row r="52">
          <cell r="B52" t="str">
            <v>Main Panel</v>
          </cell>
        </row>
      </sheetData>
      <sheetData sheetId="1939">
        <row r="52">
          <cell r="B52" t="str">
            <v>Main Panel</v>
          </cell>
        </row>
      </sheetData>
      <sheetData sheetId="1940">
        <row r="52">
          <cell r="B52" t="str">
            <v>Main Panel</v>
          </cell>
        </row>
      </sheetData>
      <sheetData sheetId="1941">
        <row r="52">
          <cell r="B52" t="str">
            <v>Main Panel</v>
          </cell>
        </row>
      </sheetData>
      <sheetData sheetId="1942">
        <row r="52">
          <cell r="B52" t="str">
            <v>Main Panel</v>
          </cell>
        </row>
      </sheetData>
      <sheetData sheetId="1943">
        <row r="52">
          <cell r="B52" t="str">
            <v>Main Panel</v>
          </cell>
        </row>
      </sheetData>
      <sheetData sheetId="1944">
        <row r="52">
          <cell r="B52" t="str">
            <v>Main Panel</v>
          </cell>
        </row>
      </sheetData>
      <sheetData sheetId="1945">
        <row r="52">
          <cell r="B52" t="str">
            <v>Main Panel</v>
          </cell>
        </row>
      </sheetData>
      <sheetData sheetId="1946">
        <row r="52">
          <cell r="B52" t="str">
            <v>Main Panel</v>
          </cell>
        </row>
      </sheetData>
      <sheetData sheetId="1947">
        <row r="52">
          <cell r="B52" t="str">
            <v>Main Panel</v>
          </cell>
        </row>
      </sheetData>
      <sheetData sheetId="1948">
        <row r="52">
          <cell r="B52" t="str">
            <v>Main Panel</v>
          </cell>
        </row>
      </sheetData>
      <sheetData sheetId="1949">
        <row r="52">
          <cell r="B52" t="str">
            <v>Main Panel</v>
          </cell>
        </row>
      </sheetData>
      <sheetData sheetId="1950">
        <row r="52">
          <cell r="B52" t="str">
            <v>Main Panel</v>
          </cell>
        </row>
      </sheetData>
      <sheetData sheetId="1951">
        <row r="52">
          <cell r="B52" t="str">
            <v>Main Panel</v>
          </cell>
        </row>
      </sheetData>
      <sheetData sheetId="1952">
        <row r="52">
          <cell r="B52" t="str">
            <v>Main Panel</v>
          </cell>
        </row>
      </sheetData>
      <sheetData sheetId="1953">
        <row r="52">
          <cell r="B52" t="str">
            <v>Main Panel</v>
          </cell>
        </row>
      </sheetData>
      <sheetData sheetId="1954">
        <row r="52">
          <cell r="B52" t="str">
            <v>Main Panel</v>
          </cell>
        </row>
      </sheetData>
      <sheetData sheetId="1955">
        <row r="52">
          <cell r="B52" t="str">
            <v>Main Panel</v>
          </cell>
        </row>
      </sheetData>
      <sheetData sheetId="1956">
        <row r="52">
          <cell r="B52" t="str">
            <v>Main Panel</v>
          </cell>
        </row>
      </sheetData>
      <sheetData sheetId="1957">
        <row r="52">
          <cell r="B52" t="str">
            <v>Main Panel</v>
          </cell>
        </row>
      </sheetData>
      <sheetData sheetId="1958">
        <row r="52">
          <cell r="B52" t="str">
            <v>Main Panel</v>
          </cell>
        </row>
      </sheetData>
      <sheetData sheetId="1959">
        <row r="52">
          <cell r="B52" t="str">
            <v>Main Panel</v>
          </cell>
        </row>
      </sheetData>
      <sheetData sheetId="1960">
        <row r="52">
          <cell r="B52" t="str">
            <v>Main Panel</v>
          </cell>
        </row>
      </sheetData>
      <sheetData sheetId="1961">
        <row r="52">
          <cell r="B52" t="str">
            <v>Main Panel</v>
          </cell>
        </row>
      </sheetData>
      <sheetData sheetId="1962">
        <row r="52">
          <cell r="B52" t="str">
            <v>Main Panel</v>
          </cell>
        </row>
      </sheetData>
      <sheetData sheetId="1963">
        <row r="52">
          <cell r="B52" t="str">
            <v>Main Panel</v>
          </cell>
        </row>
      </sheetData>
      <sheetData sheetId="1964">
        <row r="52">
          <cell r="B52" t="str">
            <v>Main Panel</v>
          </cell>
        </row>
      </sheetData>
      <sheetData sheetId="1965">
        <row r="52">
          <cell r="B52" t="str">
            <v>Main Panel</v>
          </cell>
        </row>
      </sheetData>
      <sheetData sheetId="1966">
        <row r="52">
          <cell r="B52" t="str">
            <v>Main Panel</v>
          </cell>
        </row>
      </sheetData>
      <sheetData sheetId="1967">
        <row r="52">
          <cell r="B52" t="str">
            <v>Main Panel</v>
          </cell>
        </row>
      </sheetData>
      <sheetData sheetId="1968">
        <row r="52">
          <cell r="B52" t="str">
            <v>Main Panel</v>
          </cell>
        </row>
      </sheetData>
      <sheetData sheetId="1969">
        <row r="52">
          <cell r="B52" t="str">
            <v>Main Panel</v>
          </cell>
        </row>
      </sheetData>
      <sheetData sheetId="1970">
        <row r="52">
          <cell r="B52" t="str">
            <v>Main Panel</v>
          </cell>
        </row>
      </sheetData>
      <sheetData sheetId="1971">
        <row r="52">
          <cell r="B52" t="str">
            <v>Main Panel</v>
          </cell>
        </row>
      </sheetData>
      <sheetData sheetId="1972">
        <row r="52">
          <cell r="B52" t="str">
            <v>Main Panel</v>
          </cell>
        </row>
      </sheetData>
      <sheetData sheetId="1973">
        <row r="52">
          <cell r="B52" t="str">
            <v>Main Panel</v>
          </cell>
        </row>
      </sheetData>
      <sheetData sheetId="1974">
        <row r="52">
          <cell r="B52" t="str">
            <v>Main Panel</v>
          </cell>
        </row>
      </sheetData>
      <sheetData sheetId="1975">
        <row r="52">
          <cell r="B52" t="str">
            <v>Main Panel</v>
          </cell>
        </row>
      </sheetData>
      <sheetData sheetId="1976">
        <row r="52">
          <cell r="B52" t="str">
            <v>Main Panel</v>
          </cell>
        </row>
      </sheetData>
      <sheetData sheetId="1977">
        <row r="52">
          <cell r="B52" t="str">
            <v>Main Panel</v>
          </cell>
        </row>
      </sheetData>
      <sheetData sheetId="1978">
        <row r="52">
          <cell r="B52" t="str">
            <v>Main Panel</v>
          </cell>
        </row>
      </sheetData>
      <sheetData sheetId="1979">
        <row r="52">
          <cell r="B52" t="str">
            <v>Main Panel</v>
          </cell>
        </row>
      </sheetData>
      <sheetData sheetId="1980">
        <row r="52">
          <cell r="B52" t="str">
            <v>Main Panel</v>
          </cell>
        </row>
      </sheetData>
      <sheetData sheetId="1981">
        <row r="52">
          <cell r="B52" t="str">
            <v>Main Panel</v>
          </cell>
        </row>
      </sheetData>
      <sheetData sheetId="1982">
        <row r="52">
          <cell r="B52" t="str">
            <v>Main Panel</v>
          </cell>
        </row>
      </sheetData>
      <sheetData sheetId="1983">
        <row r="52">
          <cell r="B52" t="str">
            <v>Main Panel</v>
          </cell>
        </row>
      </sheetData>
      <sheetData sheetId="1984">
        <row r="52">
          <cell r="B52" t="str">
            <v>Main Panel</v>
          </cell>
        </row>
      </sheetData>
      <sheetData sheetId="1985">
        <row r="52">
          <cell r="B52" t="str">
            <v>Main Panel</v>
          </cell>
        </row>
      </sheetData>
      <sheetData sheetId="1986">
        <row r="52">
          <cell r="B52" t="str">
            <v>Main Panel</v>
          </cell>
        </row>
      </sheetData>
      <sheetData sheetId="1987">
        <row r="52">
          <cell r="B52" t="str">
            <v>Main Panel</v>
          </cell>
        </row>
      </sheetData>
      <sheetData sheetId="1988">
        <row r="52">
          <cell r="B52" t="str">
            <v>Main Panel</v>
          </cell>
        </row>
      </sheetData>
      <sheetData sheetId="1989">
        <row r="52">
          <cell r="B52" t="str">
            <v>Main Panel</v>
          </cell>
        </row>
      </sheetData>
      <sheetData sheetId="1990">
        <row r="52">
          <cell r="B52" t="str">
            <v>Main Panel</v>
          </cell>
        </row>
      </sheetData>
      <sheetData sheetId="1991">
        <row r="52">
          <cell r="B52" t="str">
            <v>Main Panel</v>
          </cell>
        </row>
      </sheetData>
      <sheetData sheetId="1992">
        <row r="52">
          <cell r="B52" t="str">
            <v>Main Panel</v>
          </cell>
        </row>
      </sheetData>
      <sheetData sheetId="1993">
        <row r="52">
          <cell r="B52" t="str">
            <v>Main Panel</v>
          </cell>
        </row>
      </sheetData>
      <sheetData sheetId="1994">
        <row r="52">
          <cell r="B52" t="str">
            <v>Main Panel</v>
          </cell>
        </row>
      </sheetData>
      <sheetData sheetId="1995">
        <row r="52">
          <cell r="B52" t="str">
            <v>Main Panel</v>
          </cell>
        </row>
      </sheetData>
      <sheetData sheetId="1996">
        <row r="52">
          <cell r="B52" t="str">
            <v>Main Panel</v>
          </cell>
        </row>
      </sheetData>
      <sheetData sheetId="1997">
        <row r="52">
          <cell r="B52" t="str">
            <v>Main Panel</v>
          </cell>
        </row>
      </sheetData>
      <sheetData sheetId="1998">
        <row r="52">
          <cell r="B52" t="str">
            <v>Main Panel</v>
          </cell>
        </row>
      </sheetData>
      <sheetData sheetId="1999">
        <row r="52">
          <cell r="B52" t="str">
            <v>Main Panel</v>
          </cell>
        </row>
      </sheetData>
      <sheetData sheetId="2000">
        <row r="52">
          <cell r="B52" t="str">
            <v>Main Panel</v>
          </cell>
        </row>
      </sheetData>
      <sheetData sheetId="2001">
        <row r="52">
          <cell r="B52" t="str">
            <v>Main Panel</v>
          </cell>
        </row>
      </sheetData>
      <sheetData sheetId="2002">
        <row r="52">
          <cell r="B52" t="str">
            <v>Main Panel</v>
          </cell>
        </row>
      </sheetData>
      <sheetData sheetId="2003">
        <row r="52">
          <cell r="B52" t="str">
            <v>Main Panel</v>
          </cell>
        </row>
      </sheetData>
      <sheetData sheetId="2004">
        <row r="52">
          <cell r="B52" t="str">
            <v>Main Panel</v>
          </cell>
        </row>
      </sheetData>
      <sheetData sheetId="2005">
        <row r="52">
          <cell r="B52" t="str">
            <v>Main Panel</v>
          </cell>
        </row>
      </sheetData>
      <sheetData sheetId="2006">
        <row r="52">
          <cell r="B52" t="str">
            <v>Main Panel</v>
          </cell>
        </row>
      </sheetData>
      <sheetData sheetId="2007">
        <row r="52">
          <cell r="B52" t="str">
            <v>Main Panel</v>
          </cell>
        </row>
      </sheetData>
      <sheetData sheetId="2008">
        <row r="52">
          <cell r="B52" t="str">
            <v>Main Panel</v>
          </cell>
        </row>
      </sheetData>
      <sheetData sheetId="2009">
        <row r="52">
          <cell r="B52" t="str">
            <v>Main Panel</v>
          </cell>
        </row>
      </sheetData>
      <sheetData sheetId="2010">
        <row r="52">
          <cell r="B52" t="str">
            <v>Main Panel</v>
          </cell>
        </row>
      </sheetData>
      <sheetData sheetId="2011">
        <row r="52">
          <cell r="B52" t="str">
            <v>Main Panel</v>
          </cell>
        </row>
      </sheetData>
      <sheetData sheetId="2012">
        <row r="52">
          <cell r="B52" t="str">
            <v>Main Panel</v>
          </cell>
        </row>
      </sheetData>
      <sheetData sheetId="2013">
        <row r="52">
          <cell r="B52" t="str">
            <v>Main Panel</v>
          </cell>
        </row>
      </sheetData>
      <sheetData sheetId="2014">
        <row r="52">
          <cell r="B52" t="str">
            <v>Main Panel</v>
          </cell>
        </row>
      </sheetData>
      <sheetData sheetId="2015">
        <row r="52">
          <cell r="B52" t="str">
            <v>Main Panel</v>
          </cell>
        </row>
      </sheetData>
      <sheetData sheetId="2016">
        <row r="52">
          <cell r="B52" t="str">
            <v>Main Panel</v>
          </cell>
        </row>
      </sheetData>
      <sheetData sheetId="2017">
        <row r="52">
          <cell r="B52" t="str">
            <v>Main Panel</v>
          </cell>
        </row>
      </sheetData>
      <sheetData sheetId="2018">
        <row r="52">
          <cell r="B52" t="str">
            <v>Main Panel</v>
          </cell>
        </row>
      </sheetData>
      <sheetData sheetId="2019">
        <row r="52">
          <cell r="B52" t="str">
            <v>Main Panel</v>
          </cell>
        </row>
      </sheetData>
      <sheetData sheetId="2020">
        <row r="52">
          <cell r="B52" t="str">
            <v>Main Panel</v>
          </cell>
        </row>
      </sheetData>
      <sheetData sheetId="2021">
        <row r="52">
          <cell r="B52" t="str">
            <v>Main Panel</v>
          </cell>
        </row>
      </sheetData>
      <sheetData sheetId="2022">
        <row r="52">
          <cell r="B52" t="str">
            <v>Main Panel</v>
          </cell>
        </row>
      </sheetData>
      <sheetData sheetId="2023">
        <row r="52">
          <cell r="B52" t="str">
            <v>Main Panel</v>
          </cell>
        </row>
      </sheetData>
      <sheetData sheetId="2024">
        <row r="52">
          <cell r="B52" t="str">
            <v>Main Panel</v>
          </cell>
        </row>
      </sheetData>
      <sheetData sheetId="2025">
        <row r="52">
          <cell r="B52" t="str">
            <v>Main Panel</v>
          </cell>
        </row>
      </sheetData>
      <sheetData sheetId="2026">
        <row r="52">
          <cell r="B52" t="str">
            <v>Main Panel</v>
          </cell>
        </row>
      </sheetData>
      <sheetData sheetId="2027">
        <row r="52">
          <cell r="B52" t="str">
            <v>Main Panel</v>
          </cell>
        </row>
      </sheetData>
      <sheetData sheetId="2028">
        <row r="52">
          <cell r="B52" t="str">
            <v>Main Panel</v>
          </cell>
        </row>
      </sheetData>
      <sheetData sheetId="2029">
        <row r="52">
          <cell r="B52" t="str">
            <v>Main Panel</v>
          </cell>
        </row>
      </sheetData>
      <sheetData sheetId="2030">
        <row r="52">
          <cell r="B52" t="str">
            <v>Main Panel</v>
          </cell>
        </row>
      </sheetData>
      <sheetData sheetId="2031">
        <row r="52">
          <cell r="B52" t="str">
            <v>Main Panel</v>
          </cell>
        </row>
      </sheetData>
      <sheetData sheetId="2032">
        <row r="52">
          <cell r="B52" t="str">
            <v>Main Panel</v>
          </cell>
        </row>
      </sheetData>
      <sheetData sheetId="2033">
        <row r="52">
          <cell r="B52" t="str">
            <v>Main Panel</v>
          </cell>
        </row>
      </sheetData>
      <sheetData sheetId="2034">
        <row r="52">
          <cell r="B52" t="str">
            <v>Main Panel</v>
          </cell>
        </row>
      </sheetData>
      <sheetData sheetId="2035">
        <row r="52">
          <cell r="B52" t="str">
            <v>Main Panel</v>
          </cell>
        </row>
      </sheetData>
      <sheetData sheetId="2036">
        <row r="52">
          <cell r="B52" t="str">
            <v>Main Panel</v>
          </cell>
        </row>
      </sheetData>
      <sheetData sheetId="2037">
        <row r="52">
          <cell r="B52" t="str">
            <v>Main Panel</v>
          </cell>
        </row>
      </sheetData>
      <sheetData sheetId="2038">
        <row r="52">
          <cell r="B52" t="str">
            <v>Main Panel</v>
          </cell>
        </row>
      </sheetData>
      <sheetData sheetId="2039">
        <row r="52">
          <cell r="B52" t="str">
            <v>Main Panel</v>
          </cell>
        </row>
      </sheetData>
      <sheetData sheetId="2040">
        <row r="52">
          <cell r="B52" t="str">
            <v>Main Panel</v>
          </cell>
        </row>
      </sheetData>
      <sheetData sheetId="2041">
        <row r="52">
          <cell r="B52" t="str">
            <v>Main Panel</v>
          </cell>
        </row>
      </sheetData>
      <sheetData sheetId="2042">
        <row r="52">
          <cell r="B52" t="str">
            <v>Main Panel</v>
          </cell>
        </row>
      </sheetData>
      <sheetData sheetId="2043">
        <row r="52">
          <cell r="B52" t="str">
            <v>Main Panel</v>
          </cell>
        </row>
      </sheetData>
      <sheetData sheetId="2044">
        <row r="52">
          <cell r="B52" t="str">
            <v>Main Panel</v>
          </cell>
        </row>
      </sheetData>
      <sheetData sheetId="2045">
        <row r="52">
          <cell r="B52" t="str">
            <v>Main Panel</v>
          </cell>
        </row>
      </sheetData>
      <sheetData sheetId="2046">
        <row r="52">
          <cell r="B52" t="str">
            <v>Main Panel</v>
          </cell>
        </row>
      </sheetData>
      <sheetData sheetId="2047">
        <row r="52">
          <cell r="B52" t="str">
            <v>Main Panel</v>
          </cell>
        </row>
      </sheetData>
      <sheetData sheetId="2048">
        <row r="52">
          <cell r="B52" t="str">
            <v>Main Panel</v>
          </cell>
        </row>
      </sheetData>
      <sheetData sheetId="2049">
        <row r="52">
          <cell r="B52" t="str">
            <v>Main Panel</v>
          </cell>
        </row>
      </sheetData>
      <sheetData sheetId="2050">
        <row r="52">
          <cell r="B52" t="str">
            <v>Main Panel</v>
          </cell>
        </row>
      </sheetData>
      <sheetData sheetId="2051">
        <row r="52">
          <cell r="B52" t="str">
            <v>Main Panel</v>
          </cell>
        </row>
      </sheetData>
      <sheetData sheetId="2052">
        <row r="52">
          <cell r="B52" t="str">
            <v>Main Panel</v>
          </cell>
        </row>
      </sheetData>
      <sheetData sheetId="2053">
        <row r="52">
          <cell r="B52" t="str">
            <v>Main Panel</v>
          </cell>
        </row>
      </sheetData>
      <sheetData sheetId="2054">
        <row r="52">
          <cell r="B52" t="str">
            <v>Main Panel</v>
          </cell>
        </row>
      </sheetData>
      <sheetData sheetId="2055">
        <row r="52">
          <cell r="B52" t="str">
            <v>Main Panel</v>
          </cell>
        </row>
      </sheetData>
      <sheetData sheetId="2056">
        <row r="52">
          <cell r="B52" t="str">
            <v>Main Panel</v>
          </cell>
        </row>
      </sheetData>
      <sheetData sheetId="2057">
        <row r="52">
          <cell r="B52" t="str">
            <v>Main Panel</v>
          </cell>
        </row>
      </sheetData>
      <sheetData sheetId="2058">
        <row r="52">
          <cell r="B52" t="str">
            <v>Main Panel</v>
          </cell>
        </row>
      </sheetData>
      <sheetData sheetId="2059">
        <row r="52">
          <cell r="B52" t="str">
            <v>Main Panel</v>
          </cell>
        </row>
      </sheetData>
      <sheetData sheetId="2060">
        <row r="52">
          <cell r="B52" t="str">
            <v>Main Panel</v>
          </cell>
        </row>
      </sheetData>
      <sheetData sheetId="2061">
        <row r="52">
          <cell r="B52" t="str">
            <v>Main Panel</v>
          </cell>
        </row>
      </sheetData>
      <sheetData sheetId="2062">
        <row r="52">
          <cell r="B52" t="str">
            <v>Main Panel</v>
          </cell>
        </row>
      </sheetData>
      <sheetData sheetId="2063">
        <row r="52">
          <cell r="B52" t="str">
            <v>Main Panel</v>
          </cell>
        </row>
      </sheetData>
      <sheetData sheetId="2064">
        <row r="52">
          <cell r="B52" t="str">
            <v>Main Panel</v>
          </cell>
        </row>
      </sheetData>
      <sheetData sheetId="2065">
        <row r="52">
          <cell r="B52" t="str">
            <v>Main Panel</v>
          </cell>
        </row>
      </sheetData>
      <sheetData sheetId="2066">
        <row r="52">
          <cell r="B52" t="str">
            <v>Main Panel</v>
          </cell>
        </row>
      </sheetData>
      <sheetData sheetId="2067">
        <row r="52">
          <cell r="B52" t="str">
            <v>Main Panel</v>
          </cell>
        </row>
      </sheetData>
      <sheetData sheetId="2068">
        <row r="52">
          <cell r="B52" t="str">
            <v>Main Panel</v>
          </cell>
        </row>
      </sheetData>
      <sheetData sheetId="2069">
        <row r="52">
          <cell r="B52" t="str">
            <v>Main Panel</v>
          </cell>
        </row>
      </sheetData>
      <sheetData sheetId="2070">
        <row r="52">
          <cell r="B52" t="str">
            <v>Main Panel</v>
          </cell>
        </row>
      </sheetData>
      <sheetData sheetId="2071">
        <row r="52">
          <cell r="B52" t="str">
            <v>Main Panel</v>
          </cell>
        </row>
      </sheetData>
      <sheetData sheetId="2072">
        <row r="52">
          <cell r="B52" t="str">
            <v>Main Panel</v>
          </cell>
        </row>
      </sheetData>
      <sheetData sheetId="2073">
        <row r="52">
          <cell r="B52" t="str">
            <v>Main Panel</v>
          </cell>
        </row>
      </sheetData>
      <sheetData sheetId="2074">
        <row r="52">
          <cell r="B52" t="str">
            <v>Main Panel</v>
          </cell>
        </row>
      </sheetData>
      <sheetData sheetId="2075">
        <row r="52">
          <cell r="B52" t="str">
            <v>Main Panel</v>
          </cell>
        </row>
      </sheetData>
      <sheetData sheetId="2076">
        <row r="52">
          <cell r="B52" t="str">
            <v>Main Panel</v>
          </cell>
        </row>
      </sheetData>
      <sheetData sheetId="2077">
        <row r="52">
          <cell r="B52" t="str">
            <v>Main Panel</v>
          </cell>
        </row>
      </sheetData>
      <sheetData sheetId="2078">
        <row r="52">
          <cell r="B52" t="str">
            <v>Main Panel</v>
          </cell>
        </row>
      </sheetData>
      <sheetData sheetId="2079">
        <row r="52">
          <cell r="B52" t="str">
            <v>Main Panel</v>
          </cell>
        </row>
      </sheetData>
      <sheetData sheetId="2080">
        <row r="52">
          <cell r="B52" t="str">
            <v>Main Panel</v>
          </cell>
        </row>
      </sheetData>
      <sheetData sheetId="2081">
        <row r="52">
          <cell r="B52" t="str">
            <v>Main Panel</v>
          </cell>
        </row>
      </sheetData>
      <sheetData sheetId="2082">
        <row r="52">
          <cell r="B52" t="str">
            <v>Main Panel</v>
          </cell>
        </row>
      </sheetData>
      <sheetData sheetId="2083">
        <row r="52">
          <cell r="B52" t="str">
            <v>Main Panel</v>
          </cell>
        </row>
      </sheetData>
      <sheetData sheetId="2084">
        <row r="52">
          <cell r="B52" t="str">
            <v>Main Panel</v>
          </cell>
        </row>
      </sheetData>
      <sheetData sheetId="2085">
        <row r="52">
          <cell r="B52" t="str">
            <v>Main Panel</v>
          </cell>
        </row>
      </sheetData>
      <sheetData sheetId="2086">
        <row r="52">
          <cell r="B52" t="str">
            <v>Main Panel</v>
          </cell>
        </row>
      </sheetData>
      <sheetData sheetId="2087">
        <row r="52">
          <cell r="B52" t="str">
            <v>Main Panel</v>
          </cell>
        </row>
      </sheetData>
      <sheetData sheetId="2088">
        <row r="52">
          <cell r="B52" t="str">
            <v>Main Panel</v>
          </cell>
        </row>
      </sheetData>
      <sheetData sheetId="2089">
        <row r="52">
          <cell r="B52" t="str">
            <v>Main Panel</v>
          </cell>
        </row>
      </sheetData>
      <sheetData sheetId="2090">
        <row r="52">
          <cell r="B52" t="str">
            <v>Main Panel</v>
          </cell>
        </row>
      </sheetData>
      <sheetData sheetId="2091">
        <row r="52">
          <cell r="B52" t="str">
            <v>Main Panel</v>
          </cell>
        </row>
      </sheetData>
      <sheetData sheetId="2092">
        <row r="52">
          <cell r="B52" t="str">
            <v>Main Panel</v>
          </cell>
        </row>
      </sheetData>
      <sheetData sheetId="2093">
        <row r="52">
          <cell r="B52" t="str">
            <v>Main Panel</v>
          </cell>
        </row>
      </sheetData>
      <sheetData sheetId="2094">
        <row r="52">
          <cell r="B52" t="str">
            <v>Main Panel</v>
          </cell>
        </row>
      </sheetData>
      <sheetData sheetId="2095">
        <row r="52">
          <cell r="B52" t="str">
            <v>Main Panel</v>
          </cell>
        </row>
      </sheetData>
      <sheetData sheetId="2096">
        <row r="52">
          <cell r="B52" t="str">
            <v>Main Panel</v>
          </cell>
        </row>
      </sheetData>
      <sheetData sheetId="2097">
        <row r="52">
          <cell r="B52" t="str">
            <v>Main Panel</v>
          </cell>
        </row>
      </sheetData>
      <sheetData sheetId="2098">
        <row r="52">
          <cell r="B52" t="str">
            <v>Main Panel</v>
          </cell>
        </row>
      </sheetData>
      <sheetData sheetId="2099">
        <row r="52">
          <cell r="B52" t="str">
            <v>Main Panel</v>
          </cell>
        </row>
      </sheetData>
      <sheetData sheetId="2100">
        <row r="52">
          <cell r="B52" t="str">
            <v>Main Panel</v>
          </cell>
        </row>
      </sheetData>
      <sheetData sheetId="2101">
        <row r="52">
          <cell r="B52" t="str">
            <v>Main Panel</v>
          </cell>
        </row>
      </sheetData>
      <sheetData sheetId="2102">
        <row r="52">
          <cell r="B52" t="str">
            <v>Main Panel</v>
          </cell>
        </row>
      </sheetData>
      <sheetData sheetId="2103">
        <row r="52">
          <cell r="B52" t="str">
            <v>Main Panel</v>
          </cell>
        </row>
      </sheetData>
      <sheetData sheetId="2104">
        <row r="52">
          <cell r="B52" t="str">
            <v>Main Panel</v>
          </cell>
        </row>
      </sheetData>
      <sheetData sheetId="2105">
        <row r="52">
          <cell r="B52" t="str">
            <v>Main Panel</v>
          </cell>
        </row>
      </sheetData>
      <sheetData sheetId="2106">
        <row r="52">
          <cell r="B52" t="str">
            <v>Main Panel</v>
          </cell>
        </row>
      </sheetData>
      <sheetData sheetId="2107">
        <row r="52">
          <cell r="B52" t="str">
            <v>Main Panel</v>
          </cell>
        </row>
      </sheetData>
      <sheetData sheetId="2108">
        <row r="52">
          <cell r="B52" t="str">
            <v>Main Panel</v>
          </cell>
        </row>
      </sheetData>
      <sheetData sheetId="2109">
        <row r="52">
          <cell r="B52" t="str">
            <v>Main Panel</v>
          </cell>
        </row>
      </sheetData>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row r="52">
          <cell r="B52" t="str">
            <v>Main Panel</v>
          </cell>
        </row>
      </sheetData>
      <sheetData sheetId="2150">
        <row r="52">
          <cell r="B52" t="str">
            <v>Main Panel</v>
          </cell>
        </row>
      </sheetData>
      <sheetData sheetId="2151">
        <row r="52">
          <cell r="B52" t="str">
            <v>Main Panel</v>
          </cell>
        </row>
      </sheetData>
      <sheetData sheetId="2152">
        <row r="52">
          <cell r="B52" t="str">
            <v>Main Panel</v>
          </cell>
        </row>
      </sheetData>
      <sheetData sheetId="2153">
        <row r="52">
          <cell r="B52" t="str">
            <v>Main Panel</v>
          </cell>
        </row>
      </sheetData>
      <sheetData sheetId="2154">
        <row r="52">
          <cell r="B52" t="str">
            <v>Main Panel</v>
          </cell>
        </row>
      </sheetData>
      <sheetData sheetId="2155">
        <row r="52">
          <cell r="B52" t="str">
            <v>Main Panel</v>
          </cell>
        </row>
      </sheetData>
      <sheetData sheetId="2156">
        <row r="52">
          <cell r="B52" t="str">
            <v>Main Panel</v>
          </cell>
        </row>
      </sheetData>
      <sheetData sheetId="2157">
        <row r="52">
          <cell r="B52" t="str">
            <v>Main Panel</v>
          </cell>
        </row>
      </sheetData>
      <sheetData sheetId="2158">
        <row r="52">
          <cell r="B52" t="str">
            <v>Main Panel</v>
          </cell>
        </row>
      </sheetData>
      <sheetData sheetId="2159">
        <row r="52">
          <cell r="B52" t="str">
            <v>Main Panel</v>
          </cell>
        </row>
      </sheetData>
      <sheetData sheetId="2160">
        <row r="52">
          <cell r="B52" t="str">
            <v>Main Panel</v>
          </cell>
        </row>
      </sheetData>
      <sheetData sheetId="2161">
        <row r="52">
          <cell r="B52" t="str">
            <v>Main Panel</v>
          </cell>
        </row>
      </sheetData>
      <sheetData sheetId="2162">
        <row r="52">
          <cell r="B52" t="str">
            <v>Main Panel</v>
          </cell>
        </row>
      </sheetData>
      <sheetData sheetId="2163">
        <row r="52">
          <cell r="B52" t="str">
            <v>Main Panel</v>
          </cell>
        </row>
      </sheetData>
      <sheetData sheetId="2164">
        <row r="52">
          <cell r="B52" t="str">
            <v>Main Panel</v>
          </cell>
        </row>
      </sheetData>
      <sheetData sheetId="2165">
        <row r="52">
          <cell r="B52" t="str">
            <v>Main Panel</v>
          </cell>
        </row>
      </sheetData>
      <sheetData sheetId="2166">
        <row r="52">
          <cell r="B52" t="str">
            <v>Main Panel</v>
          </cell>
        </row>
      </sheetData>
      <sheetData sheetId="2167">
        <row r="52">
          <cell r="B52" t="str">
            <v>Main Panel</v>
          </cell>
        </row>
      </sheetData>
      <sheetData sheetId="2168">
        <row r="52">
          <cell r="B52" t="str">
            <v>Main Panel</v>
          </cell>
        </row>
      </sheetData>
      <sheetData sheetId="2169">
        <row r="52">
          <cell r="B52" t="str">
            <v>Main Panel</v>
          </cell>
        </row>
      </sheetData>
      <sheetData sheetId="2170">
        <row r="52">
          <cell r="B52" t="str">
            <v>Main Panel</v>
          </cell>
        </row>
      </sheetData>
      <sheetData sheetId="2171">
        <row r="52">
          <cell r="B52" t="str">
            <v>Main Panel</v>
          </cell>
        </row>
      </sheetData>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ow r="52">
          <cell r="B52" t="str">
            <v>Main Panel</v>
          </cell>
        </row>
      </sheetData>
      <sheetData sheetId="2212">
        <row r="52">
          <cell r="B52" t="str">
            <v>Main Panel</v>
          </cell>
        </row>
      </sheetData>
      <sheetData sheetId="2213">
        <row r="52">
          <cell r="B52" t="str">
            <v>Main Panel</v>
          </cell>
        </row>
      </sheetData>
      <sheetData sheetId="2214">
        <row r="52">
          <cell r="B52" t="str">
            <v>Main Panel</v>
          </cell>
        </row>
      </sheetData>
      <sheetData sheetId="2215">
        <row r="52">
          <cell r="B52" t="str">
            <v>Main Panel</v>
          </cell>
        </row>
      </sheetData>
      <sheetData sheetId="2216">
        <row r="52">
          <cell r="B52" t="str">
            <v>Main Panel</v>
          </cell>
        </row>
      </sheetData>
      <sheetData sheetId="2217">
        <row r="52">
          <cell r="B52" t="str">
            <v>Main Panel</v>
          </cell>
        </row>
      </sheetData>
      <sheetData sheetId="2218">
        <row r="52">
          <cell r="B52" t="str">
            <v>Main Panel</v>
          </cell>
        </row>
      </sheetData>
      <sheetData sheetId="2219">
        <row r="52">
          <cell r="B52" t="str">
            <v>Main Panel</v>
          </cell>
        </row>
      </sheetData>
      <sheetData sheetId="2220">
        <row r="52">
          <cell r="B52" t="str">
            <v>Main Panel</v>
          </cell>
        </row>
      </sheetData>
      <sheetData sheetId="2221">
        <row r="52">
          <cell r="B52" t="str">
            <v>Main Panel</v>
          </cell>
        </row>
      </sheetData>
      <sheetData sheetId="2222">
        <row r="52">
          <cell r="B52" t="str">
            <v>Main Panel</v>
          </cell>
        </row>
      </sheetData>
      <sheetData sheetId="2223">
        <row r="52">
          <cell r="B52" t="str">
            <v>Main Panel</v>
          </cell>
        </row>
      </sheetData>
      <sheetData sheetId="2224">
        <row r="52">
          <cell r="B52" t="str">
            <v>Main Panel</v>
          </cell>
        </row>
      </sheetData>
      <sheetData sheetId="2225">
        <row r="52">
          <cell r="B52" t="str">
            <v>Main Panel</v>
          </cell>
        </row>
      </sheetData>
      <sheetData sheetId="2226">
        <row r="52">
          <cell r="B52" t="str">
            <v>Main Panel</v>
          </cell>
        </row>
      </sheetData>
      <sheetData sheetId="2227">
        <row r="52">
          <cell r="B52" t="str">
            <v>Main Panel</v>
          </cell>
        </row>
      </sheetData>
      <sheetData sheetId="2228">
        <row r="52">
          <cell r="B52" t="str">
            <v>Main Panel</v>
          </cell>
        </row>
      </sheetData>
      <sheetData sheetId="2229">
        <row r="52">
          <cell r="B52" t="str">
            <v>Main Panel</v>
          </cell>
        </row>
      </sheetData>
      <sheetData sheetId="2230">
        <row r="52">
          <cell r="B52" t="str">
            <v>Main Panel</v>
          </cell>
        </row>
      </sheetData>
      <sheetData sheetId="2231">
        <row r="52">
          <cell r="B52" t="str">
            <v>Main Panel</v>
          </cell>
        </row>
      </sheetData>
      <sheetData sheetId="2232">
        <row r="52">
          <cell r="B52" t="str">
            <v>Main Panel</v>
          </cell>
        </row>
      </sheetData>
      <sheetData sheetId="2233">
        <row r="52">
          <cell r="B52" t="str">
            <v>Main Panel</v>
          </cell>
        </row>
      </sheetData>
      <sheetData sheetId="2234">
        <row r="52">
          <cell r="B52" t="str">
            <v>Main Panel</v>
          </cell>
        </row>
      </sheetData>
      <sheetData sheetId="2235">
        <row r="52">
          <cell r="B52" t="str">
            <v>Main Panel</v>
          </cell>
        </row>
      </sheetData>
      <sheetData sheetId="2236">
        <row r="52">
          <cell r="B52" t="str">
            <v>Main Panel</v>
          </cell>
        </row>
      </sheetData>
      <sheetData sheetId="2237">
        <row r="52">
          <cell r="B52" t="str">
            <v>Main Panel</v>
          </cell>
        </row>
      </sheetData>
      <sheetData sheetId="2238">
        <row r="52">
          <cell r="B52" t="str">
            <v>Main Panel</v>
          </cell>
        </row>
      </sheetData>
      <sheetData sheetId="2239">
        <row r="52">
          <cell r="B52" t="str">
            <v>Main Panel</v>
          </cell>
        </row>
      </sheetData>
      <sheetData sheetId="2240">
        <row r="52">
          <cell r="B52" t="str">
            <v>Main Panel</v>
          </cell>
        </row>
      </sheetData>
      <sheetData sheetId="2241">
        <row r="52">
          <cell r="B52" t="str">
            <v>Main Panel</v>
          </cell>
        </row>
      </sheetData>
      <sheetData sheetId="2242">
        <row r="52">
          <cell r="B52" t="str">
            <v>Main Panel</v>
          </cell>
        </row>
      </sheetData>
      <sheetData sheetId="2243">
        <row r="52">
          <cell r="B52" t="str">
            <v>Main Panel</v>
          </cell>
        </row>
      </sheetData>
      <sheetData sheetId="2244">
        <row r="52">
          <cell r="B52" t="str">
            <v>Main Panel</v>
          </cell>
        </row>
      </sheetData>
      <sheetData sheetId="2245">
        <row r="52">
          <cell r="B52" t="str">
            <v>Main Panel</v>
          </cell>
        </row>
      </sheetData>
      <sheetData sheetId="2246">
        <row r="52">
          <cell r="B52" t="str">
            <v>Main Panel</v>
          </cell>
        </row>
      </sheetData>
      <sheetData sheetId="2247">
        <row r="52">
          <cell r="B52" t="str">
            <v>Main Panel</v>
          </cell>
        </row>
      </sheetData>
      <sheetData sheetId="2248">
        <row r="52">
          <cell r="B52" t="str">
            <v>Main Panel</v>
          </cell>
        </row>
      </sheetData>
      <sheetData sheetId="2249">
        <row r="52">
          <cell r="B52" t="str">
            <v>Main Panel</v>
          </cell>
        </row>
      </sheetData>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ow r="52">
          <cell r="B52" t="str">
            <v>Main Panel</v>
          </cell>
        </row>
      </sheetData>
      <sheetData sheetId="2329">
        <row r="52">
          <cell r="B52" t="str">
            <v>Main Panel</v>
          </cell>
        </row>
      </sheetData>
      <sheetData sheetId="2330">
        <row r="52">
          <cell r="B52" t="str">
            <v>Main Panel</v>
          </cell>
        </row>
      </sheetData>
      <sheetData sheetId="2331">
        <row r="52">
          <cell r="B52" t="str">
            <v>Main Panel</v>
          </cell>
        </row>
      </sheetData>
      <sheetData sheetId="2332">
        <row r="52">
          <cell r="B52" t="str">
            <v>Main Panel</v>
          </cell>
        </row>
      </sheetData>
      <sheetData sheetId="2333">
        <row r="52">
          <cell r="B52" t="str">
            <v>Main Panel</v>
          </cell>
        </row>
      </sheetData>
      <sheetData sheetId="2334">
        <row r="52">
          <cell r="B52" t="str">
            <v>Main Panel</v>
          </cell>
        </row>
      </sheetData>
      <sheetData sheetId="2335">
        <row r="52">
          <cell r="B52" t="str">
            <v>Main Panel</v>
          </cell>
        </row>
      </sheetData>
      <sheetData sheetId="2336">
        <row r="52">
          <cell r="B52" t="str">
            <v>Main Panel</v>
          </cell>
        </row>
      </sheetData>
      <sheetData sheetId="2337">
        <row r="52">
          <cell r="B52" t="str">
            <v>Main Panel</v>
          </cell>
        </row>
      </sheetData>
      <sheetData sheetId="2338">
        <row r="52">
          <cell r="B52" t="str">
            <v>Main Panel</v>
          </cell>
        </row>
      </sheetData>
      <sheetData sheetId="2339">
        <row r="52">
          <cell r="B52" t="str">
            <v>Main Panel</v>
          </cell>
        </row>
      </sheetData>
      <sheetData sheetId="2340">
        <row r="52">
          <cell r="B52" t="str">
            <v>Main Panel</v>
          </cell>
        </row>
      </sheetData>
      <sheetData sheetId="2341">
        <row r="52">
          <cell r="B52" t="str">
            <v>Main Panel</v>
          </cell>
        </row>
      </sheetData>
      <sheetData sheetId="2342">
        <row r="52">
          <cell r="B52" t="str">
            <v>Main Panel</v>
          </cell>
        </row>
      </sheetData>
      <sheetData sheetId="2343">
        <row r="52">
          <cell r="B52" t="str">
            <v>Main Panel</v>
          </cell>
        </row>
      </sheetData>
      <sheetData sheetId="2344">
        <row r="52">
          <cell r="B52" t="str">
            <v>Main Panel</v>
          </cell>
        </row>
      </sheetData>
      <sheetData sheetId="2345">
        <row r="52">
          <cell r="B52" t="str">
            <v>Main Panel</v>
          </cell>
        </row>
      </sheetData>
      <sheetData sheetId="2346">
        <row r="52">
          <cell r="B52" t="str">
            <v>Main Panel</v>
          </cell>
        </row>
      </sheetData>
      <sheetData sheetId="2347">
        <row r="52">
          <cell r="B52" t="str">
            <v>Main Panel</v>
          </cell>
        </row>
      </sheetData>
      <sheetData sheetId="2348">
        <row r="52">
          <cell r="B52" t="str">
            <v>Main Panel</v>
          </cell>
        </row>
      </sheetData>
      <sheetData sheetId="2349">
        <row r="52">
          <cell r="B52" t="str">
            <v>Main Panel</v>
          </cell>
        </row>
      </sheetData>
      <sheetData sheetId="2350">
        <row r="52">
          <cell r="B52" t="str">
            <v>Main Panel</v>
          </cell>
        </row>
      </sheetData>
      <sheetData sheetId="2351">
        <row r="52">
          <cell r="B52" t="str">
            <v>Main Panel</v>
          </cell>
        </row>
      </sheetData>
      <sheetData sheetId="2352">
        <row r="52">
          <cell r="B52" t="str">
            <v>Main Panel</v>
          </cell>
        </row>
      </sheetData>
      <sheetData sheetId="2353">
        <row r="52">
          <cell r="B52" t="str">
            <v>Main Panel</v>
          </cell>
        </row>
      </sheetData>
      <sheetData sheetId="2354">
        <row r="52">
          <cell r="B52" t="str">
            <v>Main Panel</v>
          </cell>
        </row>
      </sheetData>
      <sheetData sheetId="2355">
        <row r="52">
          <cell r="B52" t="str">
            <v>Main Panel</v>
          </cell>
        </row>
      </sheetData>
      <sheetData sheetId="2356">
        <row r="52">
          <cell r="B52" t="str">
            <v>Main Panel</v>
          </cell>
        </row>
      </sheetData>
      <sheetData sheetId="2357">
        <row r="52">
          <cell r="B52" t="str">
            <v>Main Panel</v>
          </cell>
        </row>
      </sheetData>
      <sheetData sheetId="2358">
        <row r="52">
          <cell r="B52" t="str">
            <v>Main Panel</v>
          </cell>
        </row>
      </sheetData>
      <sheetData sheetId="2359">
        <row r="52">
          <cell r="B52" t="str">
            <v>Main Panel</v>
          </cell>
        </row>
      </sheetData>
      <sheetData sheetId="2360">
        <row r="52">
          <cell r="B52" t="str">
            <v>Main Panel</v>
          </cell>
        </row>
      </sheetData>
      <sheetData sheetId="2361">
        <row r="52">
          <cell r="B52" t="str">
            <v>Main Panel</v>
          </cell>
        </row>
      </sheetData>
      <sheetData sheetId="2362">
        <row r="52">
          <cell r="B52" t="str">
            <v>Main Panel</v>
          </cell>
        </row>
      </sheetData>
      <sheetData sheetId="2363">
        <row r="52">
          <cell r="B52" t="str">
            <v>Main Panel</v>
          </cell>
        </row>
      </sheetData>
      <sheetData sheetId="2364">
        <row r="52">
          <cell r="B52" t="str">
            <v>Main Panel</v>
          </cell>
        </row>
      </sheetData>
      <sheetData sheetId="2365">
        <row r="52">
          <cell r="B52" t="str">
            <v>Main Panel</v>
          </cell>
        </row>
      </sheetData>
      <sheetData sheetId="2366">
        <row r="52">
          <cell r="B52" t="str">
            <v>Main Panel</v>
          </cell>
        </row>
      </sheetData>
      <sheetData sheetId="2367">
        <row r="52">
          <cell r="B52" t="str">
            <v>Main Panel</v>
          </cell>
        </row>
      </sheetData>
      <sheetData sheetId="2368">
        <row r="52">
          <cell r="B52" t="str">
            <v>Main Panel</v>
          </cell>
        </row>
      </sheetData>
      <sheetData sheetId="2369">
        <row r="52">
          <cell r="B52" t="str">
            <v>Main Panel</v>
          </cell>
        </row>
      </sheetData>
      <sheetData sheetId="2370">
        <row r="52">
          <cell r="B52" t="str">
            <v>Main Panel</v>
          </cell>
        </row>
      </sheetData>
      <sheetData sheetId="2371">
        <row r="52">
          <cell r="B52" t="str">
            <v>Main Panel</v>
          </cell>
        </row>
      </sheetData>
      <sheetData sheetId="2372">
        <row r="52">
          <cell r="B52" t="str">
            <v>Main Panel</v>
          </cell>
        </row>
      </sheetData>
      <sheetData sheetId="2373">
        <row r="52">
          <cell r="B52" t="str">
            <v>Main Panel</v>
          </cell>
        </row>
      </sheetData>
      <sheetData sheetId="2374">
        <row r="52">
          <cell r="B52" t="str">
            <v>Main Panel</v>
          </cell>
        </row>
      </sheetData>
      <sheetData sheetId="2375">
        <row r="52">
          <cell r="B52" t="str">
            <v>Main Panel</v>
          </cell>
        </row>
      </sheetData>
      <sheetData sheetId="2376">
        <row r="52">
          <cell r="B52" t="str">
            <v>Main Panel</v>
          </cell>
        </row>
      </sheetData>
      <sheetData sheetId="2377">
        <row r="52">
          <cell r="B52" t="str">
            <v>Main Panel</v>
          </cell>
        </row>
      </sheetData>
      <sheetData sheetId="2378">
        <row r="52">
          <cell r="B52" t="str">
            <v>Main Panel</v>
          </cell>
        </row>
      </sheetData>
      <sheetData sheetId="2379">
        <row r="52">
          <cell r="B52" t="str">
            <v>Main Panel</v>
          </cell>
        </row>
      </sheetData>
      <sheetData sheetId="2380">
        <row r="52">
          <cell r="B52" t="str">
            <v>Main Panel</v>
          </cell>
        </row>
      </sheetData>
      <sheetData sheetId="2381">
        <row r="52">
          <cell r="B52" t="str">
            <v>Main Panel</v>
          </cell>
        </row>
      </sheetData>
      <sheetData sheetId="2382">
        <row r="52">
          <cell r="B52" t="str">
            <v>Main Panel</v>
          </cell>
        </row>
      </sheetData>
      <sheetData sheetId="2383">
        <row r="52">
          <cell r="B52" t="str">
            <v>Main Panel</v>
          </cell>
        </row>
      </sheetData>
      <sheetData sheetId="2384">
        <row r="52">
          <cell r="B52" t="str">
            <v>Main Panel</v>
          </cell>
        </row>
      </sheetData>
      <sheetData sheetId="2385">
        <row r="52">
          <cell r="B52" t="str">
            <v>Main Panel</v>
          </cell>
        </row>
      </sheetData>
      <sheetData sheetId="2386">
        <row r="52">
          <cell r="B52" t="str">
            <v>Main Panel</v>
          </cell>
        </row>
      </sheetData>
      <sheetData sheetId="2387">
        <row r="52">
          <cell r="B52" t="str">
            <v>Main Panel</v>
          </cell>
        </row>
      </sheetData>
      <sheetData sheetId="2388">
        <row r="52">
          <cell r="B52" t="str">
            <v>Main Panel</v>
          </cell>
        </row>
      </sheetData>
      <sheetData sheetId="2389">
        <row r="52">
          <cell r="B52" t="str">
            <v>Main Panel</v>
          </cell>
        </row>
      </sheetData>
      <sheetData sheetId="2390">
        <row r="52">
          <cell r="B52" t="str">
            <v>Main Panel</v>
          </cell>
        </row>
      </sheetData>
      <sheetData sheetId="2391">
        <row r="52">
          <cell r="B52" t="str">
            <v>Main Panel</v>
          </cell>
        </row>
      </sheetData>
      <sheetData sheetId="2392">
        <row r="52">
          <cell r="B52" t="str">
            <v>Main Panel</v>
          </cell>
        </row>
      </sheetData>
      <sheetData sheetId="2393">
        <row r="52">
          <cell r="B52" t="str">
            <v>Main Panel</v>
          </cell>
        </row>
      </sheetData>
      <sheetData sheetId="2394">
        <row r="52">
          <cell r="B52" t="str">
            <v>Main Panel</v>
          </cell>
        </row>
      </sheetData>
      <sheetData sheetId="2395">
        <row r="52">
          <cell r="B52" t="str">
            <v>Main Panel</v>
          </cell>
        </row>
      </sheetData>
      <sheetData sheetId="2396">
        <row r="52">
          <cell r="B52" t="str">
            <v>Main Panel</v>
          </cell>
        </row>
      </sheetData>
      <sheetData sheetId="2397">
        <row r="52">
          <cell r="B52" t="str">
            <v>Main Panel</v>
          </cell>
        </row>
      </sheetData>
      <sheetData sheetId="2398">
        <row r="52">
          <cell r="B52" t="str">
            <v>Main Panel</v>
          </cell>
        </row>
      </sheetData>
      <sheetData sheetId="2399">
        <row r="52">
          <cell r="B52" t="str">
            <v>Main Panel</v>
          </cell>
        </row>
      </sheetData>
      <sheetData sheetId="2400">
        <row r="52">
          <cell r="B52" t="str">
            <v>Main Panel</v>
          </cell>
        </row>
      </sheetData>
      <sheetData sheetId="2401">
        <row r="52">
          <cell r="B52" t="str">
            <v>Main Panel</v>
          </cell>
        </row>
      </sheetData>
      <sheetData sheetId="2402">
        <row r="52">
          <cell r="B52" t="str">
            <v>Main Panel</v>
          </cell>
        </row>
      </sheetData>
      <sheetData sheetId="2403">
        <row r="52">
          <cell r="B52" t="str">
            <v>Main Panel</v>
          </cell>
        </row>
      </sheetData>
      <sheetData sheetId="2404">
        <row r="52">
          <cell r="B52" t="str">
            <v>Main Panel</v>
          </cell>
        </row>
      </sheetData>
      <sheetData sheetId="2405">
        <row r="52">
          <cell r="B52" t="str">
            <v>Main Panel</v>
          </cell>
        </row>
      </sheetData>
      <sheetData sheetId="2406">
        <row r="52">
          <cell r="B52" t="str">
            <v>Main Panel</v>
          </cell>
        </row>
      </sheetData>
      <sheetData sheetId="2407">
        <row r="52">
          <cell r="B52" t="str">
            <v>Main Panel</v>
          </cell>
        </row>
      </sheetData>
      <sheetData sheetId="2408">
        <row r="52">
          <cell r="B52" t="str">
            <v>Main Panel</v>
          </cell>
        </row>
      </sheetData>
      <sheetData sheetId="2409">
        <row r="52">
          <cell r="B52" t="str">
            <v>Main Panel</v>
          </cell>
        </row>
      </sheetData>
      <sheetData sheetId="2410">
        <row r="52">
          <cell r="B52" t="str">
            <v>Main Panel</v>
          </cell>
        </row>
      </sheetData>
      <sheetData sheetId="2411">
        <row r="52">
          <cell r="B52" t="str">
            <v>Main Panel</v>
          </cell>
        </row>
      </sheetData>
      <sheetData sheetId="2412">
        <row r="52">
          <cell r="B52" t="str">
            <v>Main Panel</v>
          </cell>
        </row>
      </sheetData>
      <sheetData sheetId="2413">
        <row r="52">
          <cell r="B52" t="str">
            <v>Main Panel</v>
          </cell>
        </row>
      </sheetData>
      <sheetData sheetId="2414">
        <row r="52">
          <cell r="B52" t="str">
            <v>Main Panel</v>
          </cell>
        </row>
      </sheetData>
      <sheetData sheetId="2415">
        <row r="52">
          <cell r="B52" t="str">
            <v>Main Panel</v>
          </cell>
        </row>
      </sheetData>
      <sheetData sheetId="2416">
        <row r="52">
          <cell r="B52" t="str">
            <v>Main Panel</v>
          </cell>
        </row>
      </sheetData>
      <sheetData sheetId="2417">
        <row r="52">
          <cell r="B52" t="str">
            <v>Main Panel</v>
          </cell>
        </row>
      </sheetData>
      <sheetData sheetId="2418">
        <row r="52">
          <cell r="B52" t="str">
            <v>Main Panel</v>
          </cell>
        </row>
      </sheetData>
      <sheetData sheetId="2419">
        <row r="52">
          <cell r="B52" t="str">
            <v>Main Panel</v>
          </cell>
        </row>
      </sheetData>
      <sheetData sheetId="2420">
        <row r="52">
          <cell r="B52" t="str">
            <v>Main Panel</v>
          </cell>
        </row>
      </sheetData>
      <sheetData sheetId="2421">
        <row r="52">
          <cell r="B52" t="str">
            <v>Main Panel</v>
          </cell>
        </row>
      </sheetData>
      <sheetData sheetId="2422">
        <row r="52">
          <cell r="B52" t="str">
            <v>Main Panel</v>
          </cell>
        </row>
      </sheetData>
      <sheetData sheetId="2423">
        <row r="52">
          <cell r="B52" t="str">
            <v>Main Panel</v>
          </cell>
        </row>
      </sheetData>
      <sheetData sheetId="2424">
        <row r="52">
          <cell r="B52" t="str">
            <v>Main Panel</v>
          </cell>
        </row>
      </sheetData>
      <sheetData sheetId="2425">
        <row r="52">
          <cell r="B52" t="str">
            <v>Main Panel</v>
          </cell>
        </row>
      </sheetData>
      <sheetData sheetId="2426">
        <row r="52">
          <cell r="B52" t="str">
            <v>Main Panel</v>
          </cell>
        </row>
      </sheetData>
      <sheetData sheetId="2427">
        <row r="52">
          <cell r="B52" t="str">
            <v>Main Panel</v>
          </cell>
        </row>
      </sheetData>
      <sheetData sheetId="2428">
        <row r="52">
          <cell r="B52" t="str">
            <v>Main Panel</v>
          </cell>
        </row>
      </sheetData>
      <sheetData sheetId="2429">
        <row r="52">
          <cell r="B52" t="str">
            <v>Main Panel</v>
          </cell>
        </row>
      </sheetData>
      <sheetData sheetId="2430">
        <row r="52">
          <cell r="B52" t="str">
            <v>Main Panel</v>
          </cell>
        </row>
      </sheetData>
      <sheetData sheetId="2431">
        <row r="52">
          <cell r="B52" t="str">
            <v>Main Panel</v>
          </cell>
        </row>
      </sheetData>
      <sheetData sheetId="2432">
        <row r="52">
          <cell r="B52" t="str">
            <v>Main Panel</v>
          </cell>
        </row>
      </sheetData>
      <sheetData sheetId="2433">
        <row r="52">
          <cell r="B52" t="str">
            <v>Main Panel</v>
          </cell>
        </row>
      </sheetData>
      <sheetData sheetId="2434">
        <row r="52">
          <cell r="B52" t="str">
            <v>Main Panel</v>
          </cell>
        </row>
      </sheetData>
      <sheetData sheetId="2435">
        <row r="52">
          <cell r="B52" t="str">
            <v>Main Panel</v>
          </cell>
        </row>
      </sheetData>
      <sheetData sheetId="2436">
        <row r="52">
          <cell r="B52" t="str">
            <v>Main Panel</v>
          </cell>
        </row>
      </sheetData>
      <sheetData sheetId="2437">
        <row r="52">
          <cell r="B52" t="str">
            <v>Main Panel</v>
          </cell>
        </row>
      </sheetData>
      <sheetData sheetId="2438">
        <row r="52">
          <cell r="B52" t="str">
            <v>Main Panel</v>
          </cell>
        </row>
      </sheetData>
      <sheetData sheetId="2439">
        <row r="52">
          <cell r="B52" t="str">
            <v>Main Panel</v>
          </cell>
        </row>
      </sheetData>
      <sheetData sheetId="2440">
        <row r="52">
          <cell r="B52" t="str">
            <v>Main Panel</v>
          </cell>
        </row>
      </sheetData>
      <sheetData sheetId="2441">
        <row r="52">
          <cell r="B52" t="str">
            <v>Main Panel</v>
          </cell>
        </row>
      </sheetData>
      <sheetData sheetId="2442">
        <row r="52">
          <cell r="B52" t="str">
            <v>Main Panel</v>
          </cell>
        </row>
      </sheetData>
      <sheetData sheetId="2443">
        <row r="52">
          <cell r="B52" t="str">
            <v>Main Panel</v>
          </cell>
        </row>
      </sheetData>
      <sheetData sheetId="2444">
        <row r="52">
          <cell r="B52" t="str">
            <v>Main Panel</v>
          </cell>
        </row>
      </sheetData>
      <sheetData sheetId="2445">
        <row r="52">
          <cell r="B52" t="str">
            <v>Main Panel</v>
          </cell>
        </row>
      </sheetData>
      <sheetData sheetId="2446">
        <row r="52">
          <cell r="B52" t="str">
            <v>Main Panel</v>
          </cell>
        </row>
      </sheetData>
      <sheetData sheetId="2447">
        <row r="52">
          <cell r="B52" t="str">
            <v>Main Panel</v>
          </cell>
        </row>
      </sheetData>
      <sheetData sheetId="2448">
        <row r="52">
          <cell r="B52" t="str">
            <v>Main Panel</v>
          </cell>
        </row>
      </sheetData>
      <sheetData sheetId="2449">
        <row r="52">
          <cell r="B52" t="str">
            <v>Main Panel</v>
          </cell>
        </row>
      </sheetData>
      <sheetData sheetId="2450">
        <row r="52">
          <cell r="B52" t="str">
            <v>Main Panel</v>
          </cell>
        </row>
      </sheetData>
      <sheetData sheetId="2451">
        <row r="52">
          <cell r="B52" t="str">
            <v>Main Panel</v>
          </cell>
        </row>
      </sheetData>
      <sheetData sheetId="2452">
        <row r="52">
          <cell r="B52" t="str">
            <v>Main Panel</v>
          </cell>
        </row>
      </sheetData>
      <sheetData sheetId="2453">
        <row r="52">
          <cell r="B52" t="str">
            <v>Main Panel</v>
          </cell>
        </row>
      </sheetData>
      <sheetData sheetId="2454">
        <row r="52">
          <cell r="B52" t="str">
            <v>Main Panel</v>
          </cell>
        </row>
      </sheetData>
      <sheetData sheetId="2455">
        <row r="52">
          <cell r="B52" t="str">
            <v>Main Panel</v>
          </cell>
        </row>
      </sheetData>
      <sheetData sheetId="2456">
        <row r="52">
          <cell r="B52" t="str">
            <v>Main Panel</v>
          </cell>
        </row>
      </sheetData>
      <sheetData sheetId="2457">
        <row r="52">
          <cell r="B52" t="str">
            <v>Main Panel</v>
          </cell>
        </row>
      </sheetData>
      <sheetData sheetId="2458">
        <row r="52">
          <cell r="B52" t="str">
            <v>Main Panel</v>
          </cell>
        </row>
      </sheetData>
      <sheetData sheetId="2459">
        <row r="52">
          <cell r="B52" t="str">
            <v>Main Panel</v>
          </cell>
        </row>
      </sheetData>
      <sheetData sheetId="2460">
        <row r="52">
          <cell r="B52" t="str">
            <v>Main Panel</v>
          </cell>
        </row>
      </sheetData>
      <sheetData sheetId="2461">
        <row r="52">
          <cell r="B52" t="str">
            <v>Main Panel</v>
          </cell>
        </row>
      </sheetData>
      <sheetData sheetId="2462">
        <row r="52">
          <cell r="B52" t="str">
            <v>Main Panel</v>
          </cell>
        </row>
      </sheetData>
      <sheetData sheetId="2463">
        <row r="52">
          <cell r="B52" t="str">
            <v>Main Panel</v>
          </cell>
        </row>
      </sheetData>
      <sheetData sheetId="2464">
        <row r="52">
          <cell r="B52" t="str">
            <v>Main Panel</v>
          </cell>
        </row>
      </sheetData>
      <sheetData sheetId="2465">
        <row r="52">
          <cell r="B52" t="str">
            <v>Main Panel</v>
          </cell>
        </row>
      </sheetData>
      <sheetData sheetId="2466">
        <row r="52">
          <cell r="B52" t="str">
            <v>Main Panel</v>
          </cell>
        </row>
      </sheetData>
      <sheetData sheetId="2467">
        <row r="52">
          <cell r="B52" t="str">
            <v>Main Panel</v>
          </cell>
        </row>
      </sheetData>
      <sheetData sheetId="2468">
        <row r="52">
          <cell r="B52" t="str">
            <v>Main Panel</v>
          </cell>
        </row>
      </sheetData>
      <sheetData sheetId="2469">
        <row r="52">
          <cell r="B52" t="str">
            <v>Main Panel</v>
          </cell>
        </row>
      </sheetData>
      <sheetData sheetId="2470">
        <row r="52">
          <cell r="B52" t="str">
            <v>Main Panel</v>
          </cell>
        </row>
      </sheetData>
      <sheetData sheetId="2471">
        <row r="52">
          <cell r="B52" t="str">
            <v>Main Panel</v>
          </cell>
        </row>
      </sheetData>
      <sheetData sheetId="2472">
        <row r="52">
          <cell r="B52" t="str">
            <v>Main Panel</v>
          </cell>
        </row>
      </sheetData>
      <sheetData sheetId="2473">
        <row r="52">
          <cell r="B52" t="str">
            <v>Main Panel</v>
          </cell>
        </row>
      </sheetData>
      <sheetData sheetId="2474">
        <row r="52">
          <cell r="B52" t="str">
            <v>Main Panel</v>
          </cell>
        </row>
      </sheetData>
      <sheetData sheetId="2475">
        <row r="52">
          <cell r="B52" t="str">
            <v>Main Panel</v>
          </cell>
        </row>
      </sheetData>
      <sheetData sheetId="2476">
        <row r="52">
          <cell r="B52" t="str">
            <v>Main Panel</v>
          </cell>
        </row>
      </sheetData>
      <sheetData sheetId="2477">
        <row r="52">
          <cell r="B52" t="str">
            <v>Main Panel</v>
          </cell>
        </row>
      </sheetData>
      <sheetData sheetId="2478">
        <row r="52">
          <cell r="B52" t="str">
            <v>Main Panel</v>
          </cell>
        </row>
      </sheetData>
      <sheetData sheetId="2479">
        <row r="52">
          <cell r="B52" t="str">
            <v>Main Panel</v>
          </cell>
        </row>
      </sheetData>
      <sheetData sheetId="2480">
        <row r="52">
          <cell r="B52" t="str">
            <v>Main Panel</v>
          </cell>
        </row>
      </sheetData>
      <sheetData sheetId="2481">
        <row r="52">
          <cell r="B52" t="str">
            <v>Main Panel</v>
          </cell>
        </row>
      </sheetData>
      <sheetData sheetId="2482">
        <row r="52">
          <cell r="B52" t="str">
            <v>Main Panel</v>
          </cell>
        </row>
      </sheetData>
      <sheetData sheetId="2483">
        <row r="52">
          <cell r="B52" t="str">
            <v>Main Panel</v>
          </cell>
        </row>
      </sheetData>
      <sheetData sheetId="2484">
        <row r="52">
          <cell r="B52" t="str">
            <v>Main Panel</v>
          </cell>
        </row>
      </sheetData>
      <sheetData sheetId="2485">
        <row r="52">
          <cell r="B52" t="str">
            <v>Main Panel</v>
          </cell>
        </row>
      </sheetData>
      <sheetData sheetId="2486">
        <row r="52">
          <cell r="B52" t="str">
            <v>Main Panel</v>
          </cell>
        </row>
      </sheetData>
      <sheetData sheetId="2487">
        <row r="52">
          <cell r="B52" t="str">
            <v>Main Panel</v>
          </cell>
        </row>
      </sheetData>
      <sheetData sheetId="2488">
        <row r="52">
          <cell r="B52" t="str">
            <v>Main Panel</v>
          </cell>
        </row>
      </sheetData>
      <sheetData sheetId="2489">
        <row r="52">
          <cell r="B52" t="str">
            <v>Main Panel</v>
          </cell>
        </row>
      </sheetData>
      <sheetData sheetId="2490">
        <row r="52">
          <cell r="B52" t="str">
            <v>Main Panel</v>
          </cell>
        </row>
      </sheetData>
      <sheetData sheetId="2491">
        <row r="52">
          <cell r="B52" t="str">
            <v>Main Panel</v>
          </cell>
        </row>
      </sheetData>
      <sheetData sheetId="2492">
        <row r="52">
          <cell r="B52" t="str">
            <v>Main Panel</v>
          </cell>
        </row>
      </sheetData>
      <sheetData sheetId="2493">
        <row r="52">
          <cell r="B52" t="str">
            <v>Main Panel</v>
          </cell>
        </row>
      </sheetData>
      <sheetData sheetId="2494">
        <row r="52">
          <cell r="B52" t="str">
            <v>Main Panel</v>
          </cell>
        </row>
      </sheetData>
      <sheetData sheetId="2495">
        <row r="52">
          <cell r="B52" t="str">
            <v>Main Panel</v>
          </cell>
        </row>
      </sheetData>
      <sheetData sheetId="2496">
        <row r="52">
          <cell r="B52" t="str">
            <v>Main Panel</v>
          </cell>
        </row>
      </sheetData>
      <sheetData sheetId="2497">
        <row r="52">
          <cell r="B52" t="str">
            <v>Main Panel</v>
          </cell>
        </row>
      </sheetData>
      <sheetData sheetId="2498">
        <row r="52">
          <cell r="B52" t="str">
            <v>Main Panel</v>
          </cell>
        </row>
      </sheetData>
      <sheetData sheetId="2499">
        <row r="52">
          <cell r="B52" t="str">
            <v>Main Panel</v>
          </cell>
        </row>
      </sheetData>
      <sheetData sheetId="2500">
        <row r="52">
          <cell r="B52" t="str">
            <v>Main Panel</v>
          </cell>
        </row>
      </sheetData>
      <sheetData sheetId="2501">
        <row r="52">
          <cell r="B52" t="str">
            <v>Main Panel</v>
          </cell>
        </row>
      </sheetData>
      <sheetData sheetId="2502">
        <row r="52">
          <cell r="B52" t="str">
            <v>Main Panel</v>
          </cell>
        </row>
      </sheetData>
      <sheetData sheetId="2503">
        <row r="52">
          <cell r="B52" t="str">
            <v>Main Panel</v>
          </cell>
        </row>
      </sheetData>
      <sheetData sheetId="2504">
        <row r="52">
          <cell r="B52" t="str">
            <v>Main Panel</v>
          </cell>
        </row>
      </sheetData>
      <sheetData sheetId="2505">
        <row r="52">
          <cell r="B52" t="str">
            <v>Main Panel</v>
          </cell>
        </row>
      </sheetData>
      <sheetData sheetId="2506">
        <row r="52">
          <cell r="B52" t="str">
            <v>Main Panel</v>
          </cell>
        </row>
      </sheetData>
      <sheetData sheetId="2507">
        <row r="52">
          <cell r="B52" t="str">
            <v>Main Panel</v>
          </cell>
        </row>
      </sheetData>
      <sheetData sheetId="2508">
        <row r="52">
          <cell r="B52" t="str">
            <v>Main Panel</v>
          </cell>
        </row>
      </sheetData>
      <sheetData sheetId="2509">
        <row r="52">
          <cell r="B52" t="str">
            <v>Main Panel</v>
          </cell>
        </row>
      </sheetData>
      <sheetData sheetId="2510">
        <row r="52">
          <cell r="B52" t="str">
            <v>Main Panel</v>
          </cell>
        </row>
      </sheetData>
      <sheetData sheetId="2511">
        <row r="52">
          <cell r="B52" t="str">
            <v>Main Panel</v>
          </cell>
        </row>
      </sheetData>
      <sheetData sheetId="2512">
        <row r="52">
          <cell r="B52" t="str">
            <v>Main Panel</v>
          </cell>
        </row>
      </sheetData>
      <sheetData sheetId="2513">
        <row r="52">
          <cell r="B52" t="str">
            <v>Main Panel</v>
          </cell>
        </row>
      </sheetData>
      <sheetData sheetId="2514">
        <row r="52">
          <cell r="B52" t="str">
            <v>Main Panel</v>
          </cell>
        </row>
      </sheetData>
      <sheetData sheetId="2515">
        <row r="52">
          <cell r="B52" t="str">
            <v>Main Panel</v>
          </cell>
        </row>
      </sheetData>
      <sheetData sheetId="2516">
        <row r="52">
          <cell r="B52" t="str">
            <v>Main Panel</v>
          </cell>
        </row>
      </sheetData>
      <sheetData sheetId="2517">
        <row r="52">
          <cell r="B52" t="str">
            <v>Main Panel</v>
          </cell>
        </row>
      </sheetData>
      <sheetData sheetId="2518">
        <row r="52">
          <cell r="B52" t="str">
            <v>Main Panel</v>
          </cell>
        </row>
      </sheetData>
      <sheetData sheetId="2519">
        <row r="52">
          <cell r="B52" t="str">
            <v>Main Panel</v>
          </cell>
        </row>
      </sheetData>
      <sheetData sheetId="2520">
        <row r="52">
          <cell r="B52" t="str">
            <v>Main Panel</v>
          </cell>
        </row>
      </sheetData>
      <sheetData sheetId="2521">
        <row r="52">
          <cell r="B52" t="str">
            <v>Main Panel</v>
          </cell>
        </row>
      </sheetData>
      <sheetData sheetId="2522">
        <row r="52">
          <cell r="B52" t="str">
            <v>Main Panel</v>
          </cell>
        </row>
      </sheetData>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ow r="52">
          <cell r="B52" t="str">
            <v>Main Panel</v>
          </cell>
        </row>
      </sheetData>
      <sheetData sheetId="2563">
        <row r="52">
          <cell r="B52" t="str">
            <v>Main Panel</v>
          </cell>
        </row>
      </sheetData>
      <sheetData sheetId="2564">
        <row r="52">
          <cell r="B52" t="str">
            <v>Main Panel</v>
          </cell>
        </row>
      </sheetData>
      <sheetData sheetId="2565">
        <row r="52">
          <cell r="B52" t="str">
            <v>Main Panel</v>
          </cell>
        </row>
      </sheetData>
      <sheetData sheetId="2566">
        <row r="52">
          <cell r="B52" t="str">
            <v>Main Panel</v>
          </cell>
        </row>
      </sheetData>
      <sheetData sheetId="2567">
        <row r="52">
          <cell r="B52" t="str">
            <v>Main Panel</v>
          </cell>
        </row>
      </sheetData>
      <sheetData sheetId="2568">
        <row r="52">
          <cell r="B52" t="str">
            <v>Main Panel</v>
          </cell>
        </row>
      </sheetData>
      <sheetData sheetId="2569">
        <row r="52">
          <cell r="B52" t="str">
            <v>Main Panel</v>
          </cell>
        </row>
      </sheetData>
      <sheetData sheetId="2570">
        <row r="52">
          <cell r="B52" t="str">
            <v>Main Panel</v>
          </cell>
        </row>
      </sheetData>
      <sheetData sheetId="2571">
        <row r="52">
          <cell r="B52" t="str">
            <v>Main Panel</v>
          </cell>
        </row>
      </sheetData>
      <sheetData sheetId="2572">
        <row r="52">
          <cell r="B52" t="str">
            <v>Main Panel</v>
          </cell>
        </row>
      </sheetData>
      <sheetData sheetId="2573">
        <row r="52">
          <cell r="B52" t="str">
            <v>Main Panel</v>
          </cell>
        </row>
      </sheetData>
      <sheetData sheetId="2574">
        <row r="52">
          <cell r="B52" t="str">
            <v>Main Panel</v>
          </cell>
        </row>
      </sheetData>
      <sheetData sheetId="2575">
        <row r="52">
          <cell r="B52" t="str">
            <v>Main Panel</v>
          </cell>
        </row>
      </sheetData>
      <sheetData sheetId="2576">
        <row r="52">
          <cell r="B52" t="str">
            <v>Main Panel</v>
          </cell>
        </row>
      </sheetData>
      <sheetData sheetId="2577">
        <row r="52">
          <cell r="B52" t="str">
            <v>Main Panel</v>
          </cell>
        </row>
      </sheetData>
      <sheetData sheetId="2578">
        <row r="52">
          <cell r="B52" t="str">
            <v>Main Panel</v>
          </cell>
        </row>
      </sheetData>
      <sheetData sheetId="2579">
        <row r="52">
          <cell r="B52" t="str">
            <v>Main Panel</v>
          </cell>
        </row>
      </sheetData>
      <sheetData sheetId="2580">
        <row r="52">
          <cell r="B52" t="str">
            <v>Main Panel</v>
          </cell>
        </row>
      </sheetData>
      <sheetData sheetId="2581">
        <row r="52">
          <cell r="B52" t="str">
            <v>Main Panel</v>
          </cell>
        </row>
      </sheetData>
      <sheetData sheetId="2582">
        <row r="52">
          <cell r="B52" t="str">
            <v>Main Panel</v>
          </cell>
        </row>
      </sheetData>
      <sheetData sheetId="2583">
        <row r="52">
          <cell r="B52" t="str">
            <v>Main Panel</v>
          </cell>
        </row>
      </sheetData>
      <sheetData sheetId="2584">
        <row r="52">
          <cell r="B52" t="str">
            <v>Main Panel</v>
          </cell>
        </row>
      </sheetData>
      <sheetData sheetId="2585">
        <row r="52">
          <cell r="B52" t="str">
            <v>Main Panel</v>
          </cell>
        </row>
      </sheetData>
      <sheetData sheetId="2586">
        <row r="52">
          <cell r="B52" t="str">
            <v>Main Panel</v>
          </cell>
        </row>
      </sheetData>
      <sheetData sheetId="2587">
        <row r="52">
          <cell r="B52" t="str">
            <v>Main Panel</v>
          </cell>
        </row>
      </sheetData>
      <sheetData sheetId="2588">
        <row r="52">
          <cell r="B52" t="str">
            <v>Main Panel</v>
          </cell>
        </row>
      </sheetData>
      <sheetData sheetId="2589">
        <row r="52">
          <cell r="B52" t="str">
            <v>Main Panel</v>
          </cell>
        </row>
      </sheetData>
      <sheetData sheetId="2590">
        <row r="52">
          <cell r="B52" t="str">
            <v>Main Panel</v>
          </cell>
        </row>
      </sheetData>
      <sheetData sheetId="2591">
        <row r="52">
          <cell r="B52" t="str">
            <v>Main Panel</v>
          </cell>
        </row>
      </sheetData>
      <sheetData sheetId="2592">
        <row r="52">
          <cell r="B52" t="str">
            <v>Main Panel</v>
          </cell>
        </row>
      </sheetData>
      <sheetData sheetId="2593">
        <row r="52">
          <cell r="B52" t="str">
            <v>Main Panel</v>
          </cell>
        </row>
      </sheetData>
      <sheetData sheetId="2594">
        <row r="52">
          <cell r="B52" t="str">
            <v>Main Panel</v>
          </cell>
        </row>
      </sheetData>
      <sheetData sheetId="2595">
        <row r="52">
          <cell r="B52" t="str">
            <v>Main Panel</v>
          </cell>
        </row>
      </sheetData>
      <sheetData sheetId="2596">
        <row r="52">
          <cell r="B52" t="str">
            <v>Main Panel</v>
          </cell>
        </row>
      </sheetData>
      <sheetData sheetId="2597">
        <row r="52">
          <cell r="B52" t="str">
            <v>Main Panel</v>
          </cell>
        </row>
      </sheetData>
      <sheetData sheetId="2598">
        <row r="52">
          <cell r="B52" t="str">
            <v>Main Panel</v>
          </cell>
        </row>
      </sheetData>
      <sheetData sheetId="2599">
        <row r="52">
          <cell r="B52" t="str">
            <v>Main Panel</v>
          </cell>
        </row>
      </sheetData>
      <sheetData sheetId="2600">
        <row r="52">
          <cell r="B52" t="str">
            <v>Main Panel</v>
          </cell>
        </row>
      </sheetData>
      <sheetData sheetId="2601">
        <row r="52">
          <cell r="B52" t="str">
            <v>Main Panel</v>
          </cell>
        </row>
      </sheetData>
      <sheetData sheetId="2602">
        <row r="52">
          <cell r="B52" t="str">
            <v>Main Panel</v>
          </cell>
        </row>
      </sheetData>
      <sheetData sheetId="2603">
        <row r="52">
          <cell r="B52" t="str">
            <v>Main Panel</v>
          </cell>
        </row>
      </sheetData>
      <sheetData sheetId="2604">
        <row r="52">
          <cell r="B52" t="str">
            <v>Main Panel</v>
          </cell>
        </row>
      </sheetData>
      <sheetData sheetId="2605">
        <row r="52">
          <cell r="B52" t="str">
            <v>Main Panel</v>
          </cell>
        </row>
      </sheetData>
      <sheetData sheetId="2606">
        <row r="52">
          <cell r="B52" t="str">
            <v>Main Panel</v>
          </cell>
        </row>
      </sheetData>
      <sheetData sheetId="2607">
        <row r="52">
          <cell r="B52" t="str">
            <v>Main Panel</v>
          </cell>
        </row>
      </sheetData>
      <sheetData sheetId="2608">
        <row r="52">
          <cell r="B52" t="str">
            <v>Main Panel</v>
          </cell>
        </row>
      </sheetData>
      <sheetData sheetId="2609">
        <row r="52">
          <cell r="B52" t="str">
            <v>Main Panel</v>
          </cell>
        </row>
      </sheetData>
      <sheetData sheetId="2610">
        <row r="52">
          <cell r="B52" t="str">
            <v>Main Panel</v>
          </cell>
        </row>
      </sheetData>
      <sheetData sheetId="2611">
        <row r="52">
          <cell r="B52" t="str">
            <v>Main Panel</v>
          </cell>
        </row>
      </sheetData>
      <sheetData sheetId="2612">
        <row r="52">
          <cell r="B52" t="str">
            <v>Main Panel</v>
          </cell>
        </row>
      </sheetData>
      <sheetData sheetId="2613">
        <row r="52">
          <cell r="B52" t="str">
            <v>Main Panel</v>
          </cell>
        </row>
      </sheetData>
      <sheetData sheetId="2614">
        <row r="52">
          <cell r="B52" t="str">
            <v>Main Panel</v>
          </cell>
        </row>
      </sheetData>
      <sheetData sheetId="2615">
        <row r="52">
          <cell r="B52" t="str">
            <v>Main Panel</v>
          </cell>
        </row>
      </sheetData>
      <sheetData sheetId="2616">
        <row r="52">
          <cell r="B52" t="str">
            <v>Main Panel</v>
          </cell>
        </row>
      </sheetData>
      <sheetData sheetId="2617">
        <row r="52">
          <cell r="B52" t="str">
            <v>Main Panel</v>
          </cell>
        </row>
      </sheetData>
      <sheetData sheetId="2618">
        <row r="52">
          <cell r="B52" t="str">
            <v>Main Panel</v>
          </cell>
        </row>
      </sheetData>
      <sheetData sheetId="2619">
        <row r="52">
          <cell r="B52" t="str">
            <v>Main Panel</v>
          </cell>
        </row>
      </sheetData>
      <sheetData sheetId="2620">
        <row r="52">
          <cell r="B52" t="str">
            <v>Main Panel</v>
          </cell>
        </row>
      </sheetData>
      <sheetData sheetId="2621">
        <row r="52">
          <cell r="B52" t="str">
            <v>Main Panel</v>
          </cell>
        </row>
      </sheetData>
      <sheetData sheetId="2622">
        <row r="52">
          <cell r="B52" t="str">
            <v>Main Panel</v>
          </cell>
        </row>
      </sheetData>
      <sheetData sheetId="2623">
        <row r="52">
          <cell r="B52" t="str">
            <v>Main Panel</v>
          </cell>
        </row>
      </sheetData>
      <sheetData sheetId="2624">
        <row r="52">
          <cell r="B52" t="str">
            <v>Main Panel</v>
          </cell>
        </row>
      </sheetData>
      <sheetData sheetId="2625">
        <row r="52">
          <cell r="B52" t="str">
            <v>Main Panel</v>
          </cell>
        </row>
      </sheetData>
      <sheetData sheetId="2626">
        <row r="52">
          <cell r="B52" t="str">
            <v>Main Panel</v>
          </cell>
        </row>
      </sheetData>
      <sheetData sheetId="2627">
        <row r="52">
          <cell r="B52" t="str">
            <v>Main Panel</v>
          </cell>
        </row>
      </sheetData>
      <sheetData sheetId="2628">
        <row r="52">
          <cell r="B52" t="str">
            <v>Main Panel</v>
          </cell>
        </row>
      </sheetData>
      <sheetData sheetId="2629">
        <row r="52">
          <cell r="B52" t="str">
            <v>Main Panel</v>
          </cell>
        </row>
      </sheetData>
      <sheetData sheetId="2630">
        <row r="52">
          <cell r="B52" t="str">
            <v>Main Panel</v>
          </cell>
        </row>
      </sheetData>
      <sheetData sheetId="2631">
        <row r="52">
          <cell r="B52" t="str">
            <v>Main Panel</v>
          </cell>
        </row>
      </sheetData>
      <sheetData sheetId="2632">
        <row r="52">
          <cell r="B52" t="str">
            <v>Main Panel</v>
          </cell>
        </row>
      </sheetData>
      <sheetData sheetId="2633">
        <row r="52">
          <cell r="B52" t="str">
            <v>Main Panel</v>
          </cell>
        </row>
      </sheetData>
      <sheetData sheetId="2634">
        <row r="52">
          <cell r="B52" t="str">
            <v>Main Panel</v>
          </cell>
        </row>
      </sheetData>
      <sheetData sheetId="2635">
        <row r="52">
          <cell r="B52" t="str">
            <v>Main Panel</v>
          </cell>
        </row>
      </sheetData>
      <sheetData sheetId="2636">
        <row r="52">
          <cell r="B52" t="str">
            <v>Main Panel</v>
          </cell>
        </row>
      </sheetData>
      <sheetData sheetId="2637">
        <row r="52">
          <cell r="B52" t="str">
            <v>Main Panel</v>
          </cell>
        </row>
      </sheetData>
      <sheetData sheetId="2638">
        <row r="52">
          <cell r="B52" t="str">
            <v>Main Panel</v>
          </cell>
        </row>
      </sheetData>
      <sheetData sheetId="2639">
        <row r="52">
          <cell r="B52" t="str">
            <v>Main Panel</v>
          </cell>
        </row>
      </sheetData>
      <sheetData sheetId="2640">
        <row r="52">
          <cell r="B52" t="str">
            <v>Main Panel</v>
          </cell>
        </row>
      </sheetData>
      <sheetData sheetId="2641">
        <row r="52">
          <cell r="B52" t="str">
            <v>Main Panel</v>
          </cell>
        </row>
      </sheetData>
      <sheetData sheetId="2642">
        <row r="52">
          <cell r="B52" t="str">
            <v>Main Panel</v>
          </cell>
        </row>
      </sheetData>
      <sheetData sheetId="2643">
        <row r="52">
          <cell r="B52" t="str">
            <v>Main Panel</v>
          </cell>
        </row>
      </sheetData>
      <sheetData sheetId="2644">
        <row r="52">
          <cell r="B52" t="str">
            <v>Main Panel</v>
          </cell>
        </row>
      </sheetData>
      <sheetData sheetId="2645">
        <row r="52">
          <cell r="B52" t="str">
            <v>Main Panel</v>
          </cell>
        </row>
      </sheetData>
      <sheetData sheetId="2646">
        <row r="52">
          <cell r="B52" t="str">
            <v>Main Panel</v>
          </cell>
        </row>
      </sheetData>
      <sheetData sheetId="2647">
        <row r="52">
          <cell r="B52" t="str">
            <v>Main Panel</v>
          </cell>
        </row>
      </sheetData>
      <sheetData sheetId="2648">
        <row r="52">
          <cell r="B52" t="str">
            <v>Main Panel</v>
          </cell>
        </row>
      </sheetData>
      <sheetData sheetId="2649">
        <row r="52">
          <cell r="B52" t="str">
            <v>Main Panel</v>
          </cell>
        </row>
      </sheetData>
      <sheetData sheetId="2650">
        <row r="52">
          <cell r="B52" t="str">
            <v>Main Panel</v>
          </cell>
        </row>
      </sheetData>
      <sheetData sheetId="2651">
        <row r="52">
          <cell r="B52" t="str">
            <v>Main Panel</v>
          </cell>
        </row>
      </sheetData>
      <sheetData sheetId="2652">
        <row r="52">
          <cell r="B52" t="str">
            <v>Main Panel</v>
          </cell>
        </row>
      </sheetData>
      <sheetData sheetId="2653">
        <row r="52">
          <cell r="B52" t="str">
            <v>Main Panel</v>
          </cell>
        </row>
      </sheetData>
      <sheetData sheetId="2654">
        <row r="52">
          <cell r="B52" t="str">
            <v>Main Panel</v>
          </cell>
        </row>
      </sheetData>
      <sheetData sheetId="2655">
        <row r="52">
          <cell r="B52" t="str">
            <v>Main Panel</v>
          </cell>
        </row>
      </sheetData>
      <sheetData sheetId="2656">
        <row r="52">
          <cell r="B52" t="str">
            <v>Main Panel</v>
          </cell>
        </row>
      </sheetData>
      <sheetData sheetId="2657">
        <row r="52">
          <cell r="B52" t="str">
            <v>Main Panel</v>
          </cell>
        </row>
      </sheetData>
      <sheetData sheetId="2658">
        <row r="52">
          <cell r="B52" t="str">
            <v>Main Panel</v>
          </cell>
        </row>
      </sheetData>
      <sheetData sheetId="2659">
        <row r="52">
          <cell r="B52" t="str">
            <v>Main Panel</v>
          </cell>
        </row>
      </sheetData>
      <sheetData sheetId="2660">
        <row r="52">
          <cell r="B52" t="str">
            <v>Main Panel</v>
          </cell>
        </row>
      </sheetData>
      <sheetData sheetId="2661">
        <row r="52">
          <cell r="B52" t="str">
            <v>Main Panel</v>
          </cell>
        </row>
      </sheetData>
      <sheetData sheetId="2662">
        <row r="52">
          <cell r="B52" t="str">
            <v>Main Panel</v>
          </cell>
        </row>
      </sheetData>
      <sheetData sheetId="2663">
        <row r="52">
          <cell r="B52" t="str">
            <v>Main Panel</v>
          </cell>
        </row>
      </sheetData>
      <sheetData sheetId="2664">
        <row r="52">
          <cell r="B52" t="str">
            <v>Main Panel</v>
          </cell>
        </row>
      </sheetData>
      <sheetData sheetId="2665">
        <row r="52">
          <cell r="B52" t="str">
            <v>Main Panel</v>
          </cell>
        </row>
      </sheetData>
      <sheetData sheetId="2666">
        <row r="52">
          <cell r="B52" t="str">
            <v>Main Panel</v>
          </cell>
        </row>
      </sheetData>
      <sheetData sheetId="2667">
        <row r="52">
          <cell r="B52" t="str">
            <v>Main Panel</v>
          </cell>
        </row>
      </sheetData>
      <sheetData sheetId="2668">
        <row r="52">
          <cell r="B52" t="str">
            <v>Main Panel</v>
          </cell>
        </row>
      </sheetData>
      <sheetData sheetId="2669">
        <row r="52">
          <cell r="B52" t="str">
            <v>Main Panel</v>
          </cell>
        </row>
      </sheetData>
      <sheetData sheetId="2670">
        <row r="52">
          <cell r="B52" t="str">
            <v>Main Panel</v>
          </cell>
        </row>
      </sheetData>
      <sheetData sheetId="2671">
        <row r="52">
          <cell r="B52" t="str">
            <v>Main Panel</v>
          </cell>
        </row>
      </sheetData>
      <sheetData sheetId="2672">
        <row r="52">
          <cell r="B52" t="str">
            <v>Main Panel</v>
          </cell>
        </row>
      </sheetData>
      <sheetData sheetId="2673">
        <row r="52">
          <cell r="B52" t="str">
            <v>Main Panel</v>
          </cell>
        </row>
      </sheetData>
      <sheetData sheetId="2674">
        <row r="52">
          <cell r="B52" t="str">
            <v>Main Panel</v>
          </cell>
        </row>
      </sheetData>
      <sheetData sheetId="2675">
        <row r="52">
          <cell r="B52" t="str">
            <v>Main Panel</v>
          </cell>
        </row>
      </sheetData>
      <sheetData sheetId="2676">
        <row r="52">
          <cell r="B52" t="str">
            <v>Main Panel</v>
          </cell>
        </row>
      </sheetData>
      <sheetData sheetId="2677">
        <row r="52">
          <cell r="B52" t="str">
            <v>Main Panel</v>
          </cell>
        </row>
      </sheetData>
      <sheetData sheetId="2678">
        <row r="52">
          <cell r="B52" t="str">
            <v>Main Panel</v>
          </cell>
        </row>
      </sheetData>
      <sheetData sheetId="2679">
        <row r="52">
          <cell r="B52" t="str">
            <v>Main Panel</v>
          </cell>
        </row>
      </sheetData>
      <sheetData sheetId="2680">
        <row r="52">
          <cell r="B52" t="str">
            <v>Main Panel</v>
          </cell>
        </row>
      </sheetData>
      <sheetData sheetId="2681">
        <row r="52">
          <cell r="B52" t="str">
            <v>Main Panel</v>
          </cell>
        </row>
      </sheetData>
      <sheetData sheetId="2682">
        <row r="52">
          <cell r="B52" t="str">
            <v>Main Panel</v>
          </cell>
        </row>
      </sheetData>
      <sheetData sheetId="2683">
        <row r="52">
          <cell r="B52" t="str">
            <v>Main Panel</v>
          </cell>
        </row>
      </sheetData>
      <sheetData sheetId="2684">
        <row r="52">
          <cell r="B52" t="str">
            <v>Main Panel</v>
          </cell>
        </row>
      </sheetData>
      <sheetData sheetId="2685">
        <row r="52">
          <cell r="B52" t="str">
            <v>Main Panel</v>
          </cell>
        </row>
      </sheetData>
      <sheetData sheetId="2686">
        <row r="52">
          <cell r="B52" t="str">
            <v>Main Panel</v>
          </cell>
        </row>
      </sheetData>
      <sheetData sheetId="2687">
        <row r="52">
          <cell r="B52" t="str">
            <v>Main Panel</v>
          </cell>
        </row>
      </sheetData>
      <sheetData sheetId="2688">
        <row r="52">
          <cell r="B52" t="str">
            <v>Main Panel</v>
          </cell>
        </row>
      </sheetData>
      <sheetData sheetId="2689">
        <row r="52">
          <cell r="B52" t="str">
            <v>Main Panel</v>
          </cell>
        </row>
      </sheetData>
      <sheetData sheetId="2690">
        <row r="52">
          <cell r="B52" t="str">
            <v>Main Panel</v>
          </cell>
        </row>
      </sheetData>
      <sheetData sheetId="2691">
        <row r="52">
          <cell r="B52" t="str">
            <v>Main Panel</v>
          </cell>
        </row>
      </sheetData>
      <sheetData sheetId="2692">
        <row r="52">
          <cell r="B52" t="str">
            <v>Main Panel</v>
          </cell>
        </row>
      </sheetData>
      <sheetData sheetId="2693">
        <row r="52">
          <cell r="B52" t="str">
            <v>Main Panel</v>
          </cell>
        </row>
      </sheetData>
      <sheetData sheetId="2694">
        <row r="52">
          <cell r="B52" t="str">
            <v>Main Panel</v>
          </cell>
        </row>
      </sheetData>
      <sheetData sheetId="2695">
        <row r="52">
          <cell r="B52" t="str">
            <v>Main Panel</v>
          </cell>
        </row>
      </sheetData>
      <sheetData sheetId="2696">
        <row r="52">
          <cell r="B52" t="str">
            <v>Main Panel</v>
          </cell>
        </row>
      </sheetData>
      <sheetData sheetId="2697">
        <row r="52">
          <cell r="B52" t="str">
            <v>Main Panel</v>
          </cell>
        </row>
      </sheetData>
      <sheetData sheetId="2698">
        <row r="52">
          <cell r="B52" t="str">
            <v>Main Panel</v>
          </cell>
        </row>
      </sheetData>
      <sheetData sheetId="2699">
        <row r="52">
          <cell r="B52" t="str">
            <v>Main Panel</v>
          </cell>
        </row>
      </sheetData>
      <sheetData sheetId="2700">
        <row r="52">
          <cell r="B52" t="str">
            <v>Main Panel</v>
          </cell>
        </row>
      </sheetData>
      <sheetData sheetId="2701">
        <row r="52">
          <cell r="B52" t="str">
            <v>Main Panel</v>
          </cell>
        </row>
      </sheetData>
      <sheetData sheetId="2702">
        <row r="52">
          <cell r="B52" t="str">
            <v>Main Panel</v>
          </cell>
        </row>
      </sheetData>
      <sheetData sheetId="2703">
        <row r="52">
          <cell r="B52" t="str">
            <v>Main Panel</v>
          </cell>
        </row>
      </sheetData>
      <sheetData sheetId="2704">
        <row r="52">
          <cell r="B52" t="str">
            <v>Main Panel</v>
          </cell>
        </row>
      </sheetData>
      <sheetData sheetId="2705">
        <row r="52">
          <cell r="B52" t="str">
            <v>Main Panel</v>
          </cell>
        </row>
      </sheetData>
      <sheetData sheetId="2706">
        <row r="52">
          <cell r="B52" t="str">
            <v>Main Panel</v>
          </cell>
        </row>
      </sheetData>
      <sheetData sheetId="2707">
        <row r="52">
          <cell r="B52" t="str">
            <v>Main Panel</v>
          </cell>
        </row>
      </sheetData>
      <sheetData sheetId="2708">
        <row r="52">
          <cell r="B52" t="str">
            <v>Main Panel</v>
          </cell>
        </row>
      </sheetData>
      <sheetData sheetId="2709">
        <row r="52">
          <cell r="B52" t="str">
            <v>Main Panel</v>
          </cell>
        </row>
      </sheetData>
      <sheetData sheetId="2710">
        <row r="52">
          <cell r="B52" t="str">
            <v>Main Panel</v>
          </cell>
        </row>
      </sheetData>
      <sheetData sheetId="2711">
        <row r="52">
          <cell r="B52" t="str">
            <v>Main Panel</v>
          </cell>
        </row>
      </sheetData>
      <sheetData sheetId="2712">
        <row r="52">
          <cell r="B52" t="str">
            <v>Main Panel</v>
          </cell>
        </row>
      </sheetData>
      <sheetData sheetId="2713">
        <row r="52">
          <cell r="B52" t="str">
            <v>Main Panel</v>
          </cell>
        </row>
      </sheetData>
      <sheetData sheetId="2714">
        <row r="52">
          <cell r="B52" t="str">
            <v>Main Panel</v>
          </cell>
        </row>
      </sheetData>
      <sheetData sheetId="2715">
        <row r="52">
          <cell r="B52" t="str">
            <v>Main Panel</v>
          </cell>
        </row>
      </sheetData>
      <sheetData sheetId="2716">
        <row r="52">
          <cell r="B52" t="str">
            <v>Main Panel</v>
          </cell>
        </row>
      </sheetData>
      <sheetData sheetId="2717">
        <row r="52">
          <cell r="B52" t="str">
            <v>Main Panel</v>
          </cell>
        </row>
      </sheetData>
      <sheetData sheetId="2718">
        <row r="52">
          <cell r="B52" t="str">
            <v>Main Panel</v>
          </cell>
        </row>
      </sheetData>
      <sheetData sheetId="2719">
        <row r="52">
          <cell r="B52" t="str">
            <v>Main Panel</v>
          </cell>
        </row>
      </sheetData>
      <sheetData sheetId="2720">
        <row r="52">
          <cell r="B52" t="str">
            <v>Main Panel</v>
          </cell>
        </row>
      </sheetData>
      <sheetData sheetId="2721">
        <row r="52">
          <cell r="B52" t="str">
            <v>Main Panel</v>
          </cell>
        </row>
      </sheetData>
      <sheetData sheetId="2722">
        <row r="52">
          <cell r="B52" t="str">
            <v>Main Panel</v>
          </cell>
        </row>
      </sheetData>
      <sheetData sheetId="2723">
        <row r="52">
          <cell r="B52" t="str">
            <v>Main Panel</v>
          </cell>
        </row>
      </sheetData>
      <sheetData sheetId="2724">
        <row r="52">
          <cell r="B52" t="str">
            <v>Main Panel</v>
          </cell>
        </row>
      </sheetData>
      <sheetData sheetId="2725">
        <row r="52">
          <cell r="B52" t="str">
            <v>Main Panel</v>
          </cell>
        </row>
      </sheetData>
      <sheetData sheetId="2726">
        <row r="52">
          <cell r="B52" t="str">
            <v>Main Panel</v>
          </cell>
        </row>
      </sheetData>
      <sheetData sheetId="2727">
        <row r="52">
          <cell r="B52" t="str">
            <v>Main Panel</v>
          </cell>
        </row>
      </sheetData>
      <sheetData sheetId="2728">
        <row r="52">
          <cell r="B52" t="str">
            <v>Main Panel</v>
          </cell>
        </row>
      </sheetData>
      <sheetData sheetId="2729">
        <row r="52">
          <cell r="B52" t="str">
            <v>Main Panel</v>
          </cell>
        </row>
      </sheetData>
      <sheetData sheetId="2730">
        <row r="52">
          <cell r="B52" t="str">
            <v>Main Panel</v>
          </cell>
        </row>
      </sheetData>
      <sheetData sheetId="2731">
        <row r="52">
          <cell r="B52" t="str">
            <v>Main Panel</v>
          </cell>
        </row>
      </sheetData>
      <sheetData sheetId="2732">
        <row r="52">
          <cell r="B52" t="str">
            <v>Main Panel</v>
          </cell>
        </row>
      </sheetData>
      <sheetData sheetId="2733">
        <row r="52">
          <cell r="B52" t="str">
            <v>Main Panel</v>
          </cell>
        </row>
      </sheetData>
      <sheetData sheetId="2734">
        <row r="52">
          <cell r="B52" t="str">
            <v>Main Panel</v>
          </cell>
        </row>
      </sheetData>
      <sheetData sheetId="2735">
        <row r="52">
          <cell r="B52" t="str">
            <v>Main Panel</v>
          </cell>
        </row>
      </sheetData>
      <sheetData sheetId="2736">
        <row r="52">
          <cell r="B52" t="str">
            <v>Main Panel</v>
          </cell>
        </row>
      </sheetData>
      <sheetData sheetId="2737">
        <row r="52">
          <cell r="B52" t="str">
            <v>Main Panel</v>
          </cell>
        </row>
      </sheetData>
      <sheetData sheetId="2738">
        <row r="52">
          <cell r="B52" t="str">
            <v>Main Panel</v>
          </cell>
        </row>
      </sheetData>
      <sheetData sheetId="2739">
        <row r="52">
          <cell r="B52" t="str">
            <v>Main Panel</v>
          </cell>
        </row>
      </sheetData>
      <sheetData sheetId="2740">
        <row r="52">
          <cell r="B52" t="str">
            <v>Main Panel</v>
          </cell>
        </row>
      </sheetData>
      <sheetData sheetId="2741">
        <row r="52">
          <cell r="B52" t="str">
            <v>Main Panel</v>
          </cell>
        </row>
      </sheetData>
      <sheetData sheetId="2742">
        <row r="52">
          <cell r="B52" t="str">
            <v>Main Panel</v>
          </cell>
        </row>
      </sheetData>
      <sheetData sheetId="2743">
        <row r="52">
          <cell r="B52" t="str">
            <v>Main Panel</v>
          </cell>
        </row>
      </sheetData>
      <sheetData sheetId="2744">
        <row r="52">
          <cell r="B52" t="str">
            <v>Main Panel</v>
          </cell>
        </row>
      </sheetData>
      <sheetData sheetId="2745">
        <row r="52">
          <cell r="B52" t="str">
            <v>Main Panel</v>
          </cell>
        </row>
      </sheetData>
      <sheetData sheetId="2746">
        <row r="52">
          <cell r="B52" t="str">
            <v>Main Panel</v>
          </cell>
        </row>
      </sheetData>
      <sheetData sheetId="2747">
        <row r="52">
          <cell r="B52" t="str">
            <v>Main Panel</v>
          </cell>
        </row>
      </sheetData>
      <sheetData sheetId="2748">
        <row r="52">
          <cell r="B52" t="str">
            <v>Main Panel</v>
          </cell>
        </row>
      </sheetData>
      <sheetData sheetId="2749">
        <row r="52">
          <cell r="B52" t="str">
            <v>Main Panel</v>
          </cell>
        </row>
      </sheetData>
      <sheetData sheetId="2750">
        <row r="52">
          <cell r="B52" t="str">
            <v>Main Panel</v>
          </cell>
        </row>
      </sheetData>
      <sheetData sheetId="2751">
        <row r="52">
          <cell r="B52" t="str">
            <v>Main Panel</v>
          </cell>
        </row>
      </sheetData>
      <sheetData sheetId="2752">
        <row r="52">
          <cell r="B52" t="str">
            <v>Main Panel</v>
          </cell>
        </row>
      </sheetData>
      <sheetData sheetId="2753">
        <row r="52">
          <cell r="B52" t="str">
            <v>Main Panel</v>
          </cell>
        </row>
      </sheetData>
      <sheetData sheetId="2754">
        <row r="52">
          <cell r="B52" t="str">
            <v>Main Panel</v>
          </cell>
        </row>
      </sheetData>
      <sheetData sheetId="2755">
        <row r="52">
          <cell r="B52" t="str">
            <v>Main Panel</v>
          </cell>
        </row>
      </sheetData>
      <sheetData sheetId="2756">
        <row r="52">
          <cell r="B52" t="str">
            <v>Main Panel</v>
          </cell>
        </row>
      </sheetData>
      <sheetData sheetId="2757">
        <row r="52">
          <cell r="B52" t="str">
            <v>Main Panel</v>
          </cell>
        </row>
      </sheetData>
      <sheetData sheetId="2758">
        <row r="52">
          <cell r="B52" t="str">
            <v>Main Panel</v>
          </cell>
        </row>
      </sheetData>
      <sheetData sheetId="2759">
        <row r="52">
          <cell r="B52" t="str">
            <v>Main Panel</v>
          </cell>
        </row>
      </sheetData>
      <sheetData sheetId="2760">
        <row r="52">
          <cell r="B52" t="str">
            <v>Main Panel</v>
          </cell>
        </row>
      </sheetData>
      <sheetData sheetId="2761">
        <row r="52">
          <cell r="B52" t="str">
            <v>Main Panel</v>
          </cell>
        </row>
      </sheetData>
      <sheetData sheetId="2762">
        <row r="52">
          <cell r="B52" t="str">
            <v>Main Panel</v>
          </cell>
        </row>
      </sheetData>
      <sheetData sheetId="2763">
        <row r="52">
          <cell r="B52" t="str">
            <v>Main Panel</v>
          </cell>
        </row>
      </sheetData>
      <sheetData sheetId="2764">
        <row r="52">
          <cell r="B52" t="str">
            <v>Main Panel</v>
          </cell>
        </row>
      </sheetData>
      <sheetData sheetId="2765">
        <row r="52">
          <cell r="B52" t="str">
            <v>Main Panel</v>
          </cell>
        </row>
      </sheetData>
      <sheetData sheetId="2766">
        <row r="52">
          <cell r="B52" t="str">
            <v>Main Panel</v>
          </cell>
        </row>
      </sheetData>
      <sheetData sheetId="2767">
        <row r="52">
          <cell r="B52" t="str">
            <v>Main Panel</v>
          </cell>
        </row>
      </sheetData>
      <sheetData sheetId="2768">
        <row r="52">
          <cell r="B52" t="str">
            <v>Main Panel</v>
          </cell>
        </row>
      </sheetData>
      <sheetData sheetId="2769">
        <row r="52">
          <cell r="B52" t="str">
            <v>Main Panel</v>
          </cell>
        </row>
      </sheetData>
      <sheetData sheetId="2770">
        <row r="52">
          <cell r="B52" t="str">
            <v>Main Panel</v>
          </cell>
        </row>
      </sheetData>
      <sheetData sheetId="2771">
        <row r="52">
          <cell r="B52" t="str">
            <v>Main Panel</v>
          </cell>
        </row>
      </sheetData>
      <sheetData sheetId="2772">
        <row r="52">
          <cell r="B52" t="str">
            <v>Main Panel</v>
          </cell>
        </row>
      </sheetData>
      <sheetData sheetId="2773">
        <row r="52">
          <cell r="B52" t="str">
            <v>Main Panel</v>
          </cell>
        </row>
      </sheetData>
      <sheetData sheetId="2774">
        <row r="52">
          <cell r="B52" t="str">
            <v>Main Panel</v>
          </cell>
        </row>
      </sheetData>
      <sheetData sheetId="2775">
        <row r="52">
          <cell r="B52" t="str">
            <v>Main Panel</v>
          </cell>
        </row>
      </sheetData>
      <sheetData sheetId="2776">
        <row r="52">
          <cell r="B52" t="str">
            <v>Main Panel</v>
          </cell>
        </row>
      </sheetData>
      <sheetData sheetId="2777">
        <row r="52">
          <cell r="B52" t="str">
            <v>Main Panel</v>
          </cell>
        </row>
      </sheetData>
      <sheetData sheetId="2778">
        <row r="52">
          <cell r="B52" t="str">
            <v>Main Panel</v>
          </cell>
        </row>
      </sheetData>
      <sheetData sheetId="2779">
        <row r="52">
          <cell r="B52" t="str">
            <v>Main Panel</v>
          </cell>
        </row>
      </sheetData>
      <sheetData sheetId="2780">
        <row r="52">
          <cell r="B52" t="str">
            <v>Main Panel</v>
          </cell>
        </row>
      </sheetData>
      <sheetData sheetId="2781">
        <row r="52">
          <cell r="B52" t="str">
            <v>Main Panel</v>
          </cell>
        </row>
      </sheetData>
      <sheetData sheetId="2782">
        <row r="52">
          <cell r="B52" t="str">
            <v>Main Panel</v>
          </cell>
        </row>
      </sheetData>
      <sheetData sheetId="2783">
        <row r="52">
          <cell r="B52" t="str">
            <v>Main Panel</v>
          </cell>
        </row>
      </sheetData>
      <sheetData sheetId="2784">
        <row r="52">
          <cell r="B52" t="str">
            <v>Main Panel</v>
          </cell>
        </row>
      </sheetData>
      <sheetData sheetId="2785">
        <row r="52">
          <cell r="B52" t="str">
            <v>Main Panel</v>
          </cell>
        </row>
      </sheetData>
      <sheetData sheetId="2786">
        <row r="52">
          <cell r="B52" t="str">
            <v>Main Panel</v>
          </cell>
        </row>
      </sheetData>
      <sheetData sheetId="2787">
        <row r="52">
          <cell r="B52" t="str">
            <v>Main Panel</v>
          </cell>
        </row>
      </sheetData>
      <sheetData sheetId="2788">
        <row r="52">
          <cell r="B52" t="str">
            <v>Main Panel</v>
          </cell>
        </row>
      </sheetData>
      <sheetData sheetId="2789">
        <row r="52">
          <cell r="B52" t="str">
            <v>Main Panel</v>
          </cell>
        </row>
      </sheetData>
      <sheetData sheetId="2790">
        <row r="52">
          <cell r="B52" t="str">
            <v>Main Panel</v>
          </cell>
        </row>
      </sheetData>
      <sheetData sheetId="2791">
        <row r="52">
          <cell r="B52" t="str">
            <v>Main Panel</v>
          </cell>
        </row>
      </sheetData>
      <sheetData sheetId="2792">
        <row r="52">
          <cell r="B52" t="str">
            <v>Main Panel</v>
          </cell>
        </row>
      </sheetData>
      <sheetData sheetId="2793">
        <row r="52">
          <cell r="B52" t="str">
            <v>Main Panel</v>
          </cell>
        </row>
      </sheetData>
      <sheetData sheetId="2794">
        <row r="52">
          <cell r="B52" t="str">
            <v>Main Panel</v>
          </cell>
        </row>
      </sheetData>
      <sheetData sheetId="2795">
        <row r="52">
          <cell r="B52" t="str">
            <v>Main Panel</v>
          </cell>
        </row>
      </sheetData>
      <sheetData sheetId="2796">
        <row r="52">
          <cell r="B52" t="str">
            <v>Main Panel</v>
          </cell>
        </row>
      </sheetData>
      <sheetData sheetId="2797">
        <row r="52">
          <cell r="B52" t="str">
            <v>Main Panel</v>
          </cell>
        </row>
      </sheetData>
      <sheetData sheetId="2798">
        <row r="52">
          <cell r="B52" t="str">
            <v>Main Panel</v>
          </cell>
        </row>
      </sheetData>
      <sheetData sheetId="2799">
        <row r="52">
          <cell r="B52" t="str">
            <v>Main Panel</v>
          </cell>
        </row>
      </sheetData>
      <sheetData sheetId="2800">
        <row r="52">
          <cell r="B52" t="str">
            <v>Main Panel</v>
          </cell>
        </row>
      </sheetData>
      <sheetData sheetId="2801">
        <row r="52">
          <cell r="B52" t="str">
            <v>Main Panel</v>
          </cell>
        </row>
      </sheetData>
      <sheetData sheetId="2802">
        <row r="52">
          <cell r="B52" t="str">
            <v>Main Panel</v>
          </cell>
        </row>
      </sheetData>
      <sheetData sheetId="2803">
        <row r="52">
          <cell r="B52" t="str">
            <v>Main Panel</v>
          </cell>
        </row>
      </sheetData>
      <sheetData sheetId="2804">
        <row r="52">
          <cell r="B52" t="str">
            <v>Main Panel</v>
          </cell>
        </row>
      </sheetData>
      <sheetData sheetId="2805">
        <row r="52">
          <cell r="B52" t="str">
            <v>Main Panel</v>
          </cell>
        </row>
      </sheetData>
      <sheetData sheetId="2806">
        <row r="52">
          <cell r="B52" t="str">
            <v>Main Panel</v>
          </cell>
        </row>
      </sheetData>
      <sheetData sheetId="2807">
        <row r="52">
          <cell r="B52" t="str">
            <v>Main Panel</v>
          </cell>
        </row>
      </sheetData>
      <sheetData sheetId="2808">
        <row r="52">
          <cell r="B52" t="str">
            <v>Main Panel</v>
          </cell>
        </row>
      </sheetData>
      <sheetData sheetId="2809">
        <row r="52">
          <cell r="B52" t="str">
            <v>Main Panel</v>
          </cell>
        </row>
      </sheetData>
      <sheetData sheetId="2810">
        <row r="52">
          <cell r="B52" t="str">
            <v>Main Panel</v>
          </cell>
        </row>
      </sheetData>
      <sheetData sheetId="2811">
        <row r="52">
          <cell r="B52" t="str">
            <v>Main Panel</v>
          </cell>
        </row>
      </sheetData>
      <sheetData sheetId="2812">
        <row r="52">
          <cell r="B52" t="str">
            <v>Main Panel</v>
          </cell>
        </row>
      </sheetData>
      <sheetData sheetId="2813">
        <row r="52">
          <cell r="B52" t="str">
            <v>Main Panel</v>
          </cell>
        </row>
      </sheetData>
      <sheetData sheetId="2814">
        <row r="52">
          <cell r="B52" t="str">
            <v>Main Panel</v>
          </cell>
        </row>
      </sheetData>
      <sheetData sheetId="2815">
        <row r="52">
          <cell r="B52" t="str">
            <v>Main Panel</v>
          </cell>
        </row>
      </sheetData>
      <sheetData sheetId="2816">
        <row r="52">
          <cell r="B52" t="str">
            <v>Main Panel</v>
          </cell>
        </row>
      </sheetData>
      <sheetData sheetId="2817">
        <row r="52">
          <cell r="B52" t="str">
            <v>Main Panel</v>
          </cell>
        </row>
      </sheetData>
      <sheetData sheetId="2818">
        <row r="52">
          <cell r="B52" t="str">
            <v>Main Panel</v>
          </cell>
        </row>
      </sheetData>
      <sheetData sheetId="2819">
        <row r="52">
          <cell r="B52" t="str">
            <v>Main Panel</v>
          </cell>
        </row>
      </sheetData>
      <sheetData sheetId="2820">
        <row r="52">
          <cell r="B52" t="str">
            <v>Main Panel</v>
          </cell>
        </row>
      </sheetData>
      <sheetData sheetId="2821">
        <row r="52">
          <cell r="B52" t="str">
            <v>Main Panel</v>
          </cell>
        </row>
      </sheetData>
      <sheetData sheetId="2822">
        <row r="52">
          <cell r="B52" t="str">
            <v>Main Panel</v>
          </cell>
        </row>
      </sheetData>
      <sheetData sheetId="2823">
        <row r="52">
          <cell r="B52" t="str">
            <v>Main Panel</v>
          </cell>
        </row>
      </sheetData>
      <sheetData sheetId="2824">
        <row r="52">
          <cell r="B52" t="str">
            <v>Main Panel</v>
          </cell>
        </row>
      </sheetData>
      <sheetData sheetId="2825">
        <row r="52">
          <cell r="B52" t="str">
            <v>Main Panel</v>
          </cell>
        </row>
      </sheetData>
      <sheetData sheetId="2826">
        <row r="52">
          <cell r="B52" t="str">
            <v>Main Panel</v>
          </cell>
        </row>
      </sheetData>
      <sheetData sheetId="2827">
        <row r="52">
          <cell r="B52" t="str">
            <v>Main Panel</v>
          </cell>
        </row>
      </sheetData>
      <sheetData sheetId="2828">
        <row r="52">
          <cell r="B52" t="str">
            <v>Main Panel</v>
          </cell>
        </row>
      </sheetData>
      <sheetData sheetId="2829">
        <row r="52">
          <cell r="B52" t="str">
            <v>Main Panel</v>
          </cell>
        </row>
      </sheetData>
      <sheetData sheetId="2830">
        <row r="52">
          <cell r="B52" t="str">
            <v>Main Panel</v>
          </cell>
        </row>
      </sheetData>
      <sheetData sheetId="2831">
        <row r="52">
          <cell r="B52" t="str">
            <v>Main Panel</v>
          </cell>
        </row>
      </sheetData>
      <sheetData sheetId="2832">
        <row r="52">
          <cell r="B52" t="str">
            <v>Main Panel</v>
          </cell>
        </row>
      </sheetData>
      <sheetData sheetId="2833">
        <row r="52">
          <cell r="B52" t="str">
            <v>Main Panel</v>
          </cell>
        </row>
      </sheetData>
      <sheetData sheetId="2834">
        <row r="52">
          <cell r="B52" t="str">
            <v>Main Panel</v>
          </cell>
        </row>
      </sheetData>
      <sheetData sheetId="2835">
        <row r="52">
          <cell r="B52" t="str">
            <v>Main Panel</v>
          </cell>
        </row>
      </sheetData>
      <sheetData sheetId="2836">
        <row r="52">
          <cell r="B52" t="str">
            <v>Main Panel</v>
          </cell>
        </row>
      </sheetData>
      <sheetData sheetId="2837">
        <row r="52">
          <cell r="B52" t="str">
            <v>Main Panel</v>
          </cell>
        </row>
      </sheetData>
      <sheetData sheetId="2838">
        <row r="52">
          <cell r="B52" t="str">
            <v>Main Panel</v>
          </cell>
        </row>
      </sheetData>
      <sheetData sheetId="2839">
        <row r="52">
          <cell r="B52" t="str">
            <v>Main Panel</v>
          </cell>
        </row>
      </sheetData>
      <sheetData sheetId="2840">
        <row r="52">
          <cell r="B52" t="str">
            <v>Main Panel</v>
          </cell>
        </row>
      </sheetData>
      <sheetData sheetId="2841">
        <row r="52">
          <cell r="B52" t="str">
            <v>Main Panel</v>
          </cell>
        </row>
      </sheetData>
      <sheetData sheetId="2842">
        <row r="52">
          <cell r="B52" t="str">
            <v>Main Panel</v>
          </cell>
        </row>
      </sheetData>
      <sheetData sheetId="2843">
        <row r="52">
          <cell r="B52" t="str">
            <v>Main Panel</v>
          </cell>
        </row>
      </sheetData>
      <sheetData sheetId="2844">
        <row r="52">
          <cell r="B52" t="str">
            <v>Main Panel</v>
          </cell>
        </row>
      </sheetData>
      <sheetData sheetId="2845">
        <row r="52">
          <cell r="B52" t="str">
            <v>Main Panel</v>
          </cell>
        </row>
      </sheetData>
      <sheetData sheetId="2846">
        <row r="52">
          <cell r="B52" t="str">
            <v>Main Panel</v>
          </cell>
        </row>
      </sheetData>
      <sheetData sheetId="2847">
        <row r="52">
          <cell r="B52" t="str">
            <v>Main Panel</v>
          </cell>
        </row>
      </sheetData>
      <sheetData sheetId="2848">
        <row r="52">
          <cell r="B52" t="str">
            <v>Main Panel</v>
          </cell>
        </row>
      </sheetData>
      <sheetData sheetId="2849">
        <row r="52">
          <cell r="B52" t="str">
            <v>Main Panel</v>
          </cell>
        </row>
      </sheetData>
      <sheetData sheetId="2850">
        <row r="52">
          <cell r="B52" t="str">
            <v>Main Panel</v>
          </cell>
        </row>
      </sheetData>
      <sheetData sheetId="2851">
        <row r="52">
          <cell r="B52" t="str">
            <v>Main Panel</v>
          </cell>
        </row>
      </sheetData>
      <sheetData sheetId="2852">
        <row r="52">
          <cell r="B52" t="str">
            <v>Main Panel</v>
          </cell>
        </row>
      </sheetData>
      <sheetData sheetId="2853">
        <row r="52">
          <cell r="B52" t="str">
            <v>Main Panel</v>
          </cell>
        </row>
      </sheetData>
      <sheetData sheetId="2854">
        <row r="52">
          <cell r="B52" t="str">
            <v>Main Panel</v>
          </cell>
        </row>
      </sheetData>
      <sheetData sheetId="2855">
        <row r="52">
          <cell r="B52" t="str">
            <v>Main Panel</v>
          </cell>
        </row>
      </sheetData>
      <sheetData sheetId="2856">
        <row r="52">
          <cell r="B52" t="str">
            <v>Main Panel</v>
          </cell>
        </row>
      </sheetData>
      <sheetData sheetId="2857">
        <row r="52">
          <cell r="B52" t="str">
            <v>Main Panel</v>
          </cell>
        </row>
      </sheetData>
      <sheetData sheetId="2858">
        <row r="52">
          <cell r="B52" t="str">
            <v>Main Panel</v>
          </cell>
        </row>
      </sheetData>
      <sheetData sheetId="2859">
        <row r="52">
          <cell r="B52" t="str">
            <v>Main Panel</v>
          </cell>
        </row>
      </sheetData>
      <sheetData sheetId="2860">
        <row r="52">
          <cell r="B52" t="str">
            <v>Main Panel</v>
          </cell>
        </row>
      </sheetData>
      <sheetData sheetId="2861">
        <row r="52">
          <cell r="B52" t="str">
            <v>Main Panel</v>
          </cell>
        </row>
      </sheetData>
      <sheetData sheetId="2862">
        <row r="52">
          <cell r="B52" t="str">
            <v>Main Panel</v>
          </cell>
        </row>
      </sheetData>
      <sheetData sheetId="2863">
        <row r="52">
          <cell r="B52" t="str">
            <v>Main Panel</v>
          </cell>
        </row>
      </sheetData>
      <sheetData sheetId="2864">
        <row r="52">
          <cell r="B52" t="str">
            <v>Main Panel</v>
          </cell>
        </row>
      </sheetData>
      <sheetData sheetId="2865">
        <row r="52">
          <cell r="B52" t="str">
            <v>Main Panel</v>
          </cell>
        </row>
      </sheetData>
      <sheetData sheetId="2866">
        <row r="52">
          <cell r="B52" t="str">
            <v>Main Panel</v>
          </cell>
        </row>
      </sheetData>
      <sheetData sheetId="2867">
        <row r="52">
          <cell r="B52" t="str">
            <v>Main Panel</v>
          </cell>
        </row>
      </sheetData>
      <sheetData sheetId="2868">
        <row r="52">
          <cell r="B52" t="str">
            <v>Main Panel</v>
          </cell>
        </row>
      </sheetData>
      <sheetData sheetId="2869">
        <row r="52">
          <cell r="B52" t="str">
            <v>Main Panel</v>
          </cell>
        </row>
      </sheetData>
      <sheetData sheetId="2870">
        <row r="52">
          <cell r="B52" t="str">
            <v>Main Panel</v>
          </cell>
        </row>
      </sheetData>
      <sheetData sheetId="2871">
        <row r="52">
          <cell r="B52" t="str">
            <v>Main Panel</v>
          </cell>
        </row>
      </sheetData>
      <sheetData sheetId="2872">
        <row r="52">
          <cell r="B52" t="str">
            <v>Main Panel</v>
          </cell>
        </row>
      </sheetData>
      <sheetData sheetId="2873">
        <row r="52">
          <cell r="B52" t="str">
            <v>Main Panel</v>
          </cell>
        </row>
      </sheetData>
      <sheetData sheetId="2874">
        <row r="52">
          <cell r="B52" t="str">
            <v>Main Panel</v>
          </cell>
        </row>
      </sheetData>
      <sheetData sheetId="2875">
        <row r="52">
          <cell r="B52" t="str">
            <v>Main Panel</v>
          </cell>
        </row>
      </sheetData>
      <sheetData sheetId="2876">
        <row r="52">
          <cell r="B52" t="str">
            <v>Main Panel</v>
          </cell>
        </row>
      </sheetData>
      <sheetData sheetId="2877">
        <row r="52">
          <cell r="B52" t="str">
            <v>Main Panel</v>
          </cell>
        </row>
      </sheetData>
      <sheetData sheetId="2878">
        <row r="52">
          <cell r="B52" t="str">
            <v>Main Panel</v>
          </cell>
        </row>
      </sheetData>
      <sheetData sheetId="2879">
        <row r="52">
          <cell r="B52" t="str">
            <v>Main Panel</v>
          </cell>
        </row>
      </sheetData>
      <sheetData sheetId="2880">
        <row r="52">
          <cell r="B52" t="str">
            <v>Main Panel</v>
          </cell>
        </row>
      </sheetData>
      <sheetData sheetId="2881">
        <row r="52">
          <cell r="B52" t="str">
            <v>Main Panel</v>
          </cell>
        </row>
      </sheetData>
      <sheetData sheetId="2882">
        <row r="52">
          <cell r="B52" t="str">
            <v>Main Panel</v>
          </cell>
        </row>
      </sheetData>
      <sheetData sheetId="2883">
        <row r="52">
          <cell r="B52" t="str">
            <v>Main Panel</v>
          </cell>
        </row>
      </sheetData>
      <sheetData sheetId="2884">
        <row r="52">
          <cell r="B52" t="str">
            <v>Main Panel</v>
          </cell>
        </row>
      </sheetData>
      <sheetData sheetId="2885">
        <row r="52">
          <cell r="B52" t="str">
            <v>Main Panel</v>
          </cell>
        </row>
      </sheetData>
      <sheetData sheetId="2886">
        <row r="52">
          <cell r="B52" t="str">
            <v>Main Panel</v>
          </cell>
        </row>
      </sheetData>
      <sheetData sheetId="2887">
        <row r="52">
          <cell r="B52" t="str">
            <v>Main Panel</v>
          </cell>
        </row>
      </sheetData>
      <sheetData sheetId="2888">
        <row r="52">
          <cell r="B52" t="str">
            <v>Main Panel</v>
          </cell>
        </row>
      </sheetData>
      <sheetData sheetId="2889">
        <row r="52">
          <cell r="B52" t="str">
            <v>Main Panel</v>
          </cell>
        </row>
      </sheetData>
      <sheetData sheetId="2890">
        <row r="52">
          <cell r="B52" t="str">
            <v>Main Panel</v>
          </cell>
        </row>
      </sheetData>
      <sheetData sheetId="2891">
        <row r="52">
          <cell r="B52" t="str">
            <v>Main Panel</v>
          </cell>
        </row>
      </sheetData>
      <sheetData sheetId="2892">
        <row r="52">
          <cell r="B52" t="str">
            <v>Main Panel</v>
          </cell>
        </row>
      </sheetData>
      <sheetData sheetId="2893">
        <row r="52">
          <cell r="B52" t="str">
            <v>Main Panel</v>
          </cell>
        </row>
      </sheetData>
      <sheetData sheetId="2894">
        <row r="52">
          <cell r="B52" t="str">
            <v>Main Panel</v>
          </cell>
        </row>
      </sheetData>
      <sheetData sheetId="2895">
        <row r="52">
          <cell r="B52" t="str">
            <v>Main Panel</v>
          </cell>
        </row>
      </sheetData>
      <sheetData sheetId="2896">
        <row r="52">
          <cell r="B52" t="str">
            <v>Main Panel</v>
          </cell>
        </row>
      </sheetData>
      <sheetData sheetId="2897">
        <row r="52">
          <cell r="B52" t="str">
            <v>Main Panel</v>
          </cell>
        </row>
      </sheetData>
      <sheetData sheetId="2898">
        <row r="52">
          <cell r="B52" t="str">
            <v>Main Panel</v>
          </cell>
        </row>
      </sheetData>
      <sheetData sheetId="2899">
        <row r="52">
          <cell r="B52" t="str">
            <v>Main Panel</v>
          </cell>
        </row>
      </sheetData>
      <sheetData sheetId="2900">
        <row r="52">
          <cell r="B52" t="str">
            <v>Main Panel</v>
          </cell>
        </row>
      </sheetData>
      <sheetData sheetId="2901">
        <row r="52">
          <cell r="B52" t="str">
            <v>Main Panel</v>
          </cell>
        </row>
      </sheetData>
      <sheetData sheetId="2902">
        <row r="52">
          <cell r="B52" t="str">
            <v>Main Panel</v>
          </cell>
        </row>
      </sheetData>
      <sheetData sheetId="2903">
        <row r="52">
          <cell r="B52" t="str">
            <v>Main Panel</v>
          </cell>
        </row>
      </sheetData>
      <sheetData sheetId="2904">
        <row r="52">
          <cell r="B52" t="str">
            <v>Main Panel</v>
          </cell>
        </row>
      </sheetData>
      <sheetData sheetId="2905">
        <row r="52">
          <cell r="B52" t="str">
            <v>Main Panel</v>
          </cell>
        </row>
      </sheetData>
      <sheetData sheetId="2906">
        <row r="52">
          <cell r="B52" t="str">
            <v>Main Panel</v>
          </cell>
        </row>
      </sheetData>
      <sheetData sheetId="2907">
        <row r="52">
          <cell r="B52" t="str">
            <v>Main Panel</v>
          </cell>
        </row>
      </sheetData>
      <sheetData sheetId="2908">
        <row r="52">
          <cell r="B52" t="str">
            <v>Main Panel</v>
          </cell>
        </row>
      </sheetData>
      <sheetData sheetId="2909">
        <row r="52">
          <cell r="B52" t="str">
            <v>Main Panel</v>
          </cell>
        </row>
      </sheetData>
      <sheetData sheetId="2910">
        <row r="52">
          <cell r="B52" t="str">
            <v>Main Panel</v>
          </cell>
        </row>
      </sheetData>
      <sheetData sheetId="2911">
        <row r="52">
          <cell r="B52" t="str">
            <v>Main Panel</v>
          </cell>
        </row>
      </sheetData>
      <sheetData sheetId="2912">
        <row r="52">
          <cell r="B52" t="str">
            <v>Main Panel</v>
          </cell>
        </row>
      </sheetData>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ow r="52">
          <cell r="B52" t="str">
            <v>Main Panel</v>
          </cell>
        </row>
      </sheetData>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ow r="52">
          <cell r="B52" t="str">
            <v>Main Panel</v>
          </cell>
        </row>
      </sheetData>
      <sheetData sheetId="2950">
        <row r="52">
          <cell r="B52" t="str">
            <v>Main Panel</v>
          </cell>
        </row>
      </sheetData>
      <sheetData sheetId="2951">
        <row r="52">
          <cell r="B52" t="str">
            <v>Main Panel</v>
          </cell>
        </row>
      </sheetData>
      <sheetData sheetId="2952">
        <row r="52">
          <cell r="B52" t="str">
            <v>Main Panel</v>
          </cell>
        </row>
      </sheetData>
      <sheetData sheetId="2953">
        <row r="52">
          <cell r="B52" t="str">
            <v>Main Panel</v>
          </cell>
        </row>
      </sheetData>
      <sheetData sheetId="2954">
        <row r="52">
          <cell r="B52" t="str">
            <v>Main Panel</v>
          </cell>
        </row>
      </sheetData>
      <sheetData sheetId="2955">
        <row r="52">
          <cell r="B52" t="str">
            <v>Main Panel</v>
          </cell>
        </row>
      </sheetData>
      <sheetData sheetId="2956">
        <row r="52">
          <cell r="B52" t="str">
            <v>Main Panel</v>
          </cell>
        </row>
      </sheetData>
      <sheetData sheetId="2957">
        <row r="52">
          <cell r="B52" t="str">
            <v>Main Panel</v>
          </cell>
        </row>
      </sheetData>
      <sheetData sheetId="2958">
        <row r="52">
          <cell r="B52" t="str">
            <v>Main Panel</v>
          </cell>
        </row>
      </sheetData>
      <sheetData sheetId="2959">
        <row r="52">
          <cell r="B52" t="str">
            <v>Main Panel</v>
          </cell>
        </row>
      </sheetData>
      <sheetData sheetId="2960">
        <row r="52">
          <cell r="B52" t="str">
            <v>Main Panel</v>
          </cell>
        </row>
      </sheetData>
      <sheetData sheetId="2961">
        <row r="52">
          <cell r="B52" t="str">
            <v>Main Panel</v>
          </cell>
        </row>
      </sheetData>
      <sheetData sheetId="2962">
        <row r="52">
          <cell r="B52" t="str">
            <v>Main Panel</v>
          </cell>
        </row>
      </sheetData>
      <sheetData sheetId="2963">
        <row r="52">
          <cell r="B52" t="str">
            <v>Main Panel</v>
          </cell>
        </row>
      </sheetData>
      <sheetData sheetId="2964">
        <row r="52">
          <cell r="B52" t="str">
            <v>Main Panel</v>
          </cell>
        </row>
      </sheetData>
      <sheetData sheetId="2965">
        <row r="52">
          <cell r="B52" t="str">
            <v>Main Panel</v>
          </cell>
        </row>
      </sheetData>
      <sheetData sheetId="2966">
        <row r="52">
          <cell r="B52" t="str">
            <v>Main Panel</v>
          </cell>
        </row>
      </sheetData>
      <sheetData sheetId="2967">
        <row r="52">
          <cell r="B52" t="str">
            <v>Main Panel</v>
          </cell>
        </row>
      </sheetData>
      <sheetData sheetId="2968">
        <row r="52">
          <cell r="B52" t="str">
            <v>Main Panel</v>
          </cell>
        </row>
      </sheetData>
      <sheetData sheetId="2969">
        <row r="52">
          <cell r="B52" t="str">
            <v>Main Panel</v>
          </cell>
        </row>
      </sheetData>
      <sheetData sheetId="2970">
        <row r="52">
          <cell r="B52" t="str">
            <v>Main Panel</v>
          </cell>
        </row>
      </sheetData>
      <sheetData sheetId="2971">
        <row r="52">
          <cell r="B52" t="str">
            <v>Main Panel</v>
          </cell>
        </row>
      </sheetData>
      <sheetData sheetId="2972">
        <row r="52">
          <cell r="B52" t="str">
            <v>Main Panel</v>
          </cell>
        </row>
      </sheetData>
      <sheetData sheetId="2973">
        <row r="52">
          <cell r="B52" t="str">
            <v>Main Panel</v>
          </cell>
        </row>
      </sheetData>
      <sheetData sheetId="2974">
        <row r="52">
          <cell r="B52" t="str">
            <v>Main Panel</v>
          </cell>
        </row>
      </sheetData>
      <sheetData sheetId="2975">
        <row r="52">
          <cell r="B52" t="str">
            <v>Main Panel</v>
          </cell>
        </row>
      </sheetData>
      <sheetData sheetId="2976">
        <row r="52">
          <cell r="B52" t="str">
            <v>Main Panel</v>
          </cell>
        </row>
      </sheetData>
      <sheetData sheetId="2977">
        <row r="52">
          <cell r="B52" t="str">
            <v>Main Panel</v>
          </cell>
        </row>
      </sheetData>
      <sheetData sheetId="2978">
        <row r="52">
          <cell r="B52" t="str">
            <v>Main Panel</v>
          </cell>
        </row>
      </sheetData>
      <sheetData sheetId="2979">
        <row r="52">
          <cell r="B52" t="str">
            <v>Main Panel</v>
          </cell>
        </row>
      </sheetData>
      <sheetData sheetId="2980">
        <row r="52">
          <cell r="B52" t="str">
            <v>Main Panel</v>
          </cell>
        </row>
      </sheetData>
      <sheetData sheetId="2981">
        <row r="52">
          <cell r="B52" t="str">
            <v>Main Panel</v>
          </cell>
        </row>
      </sheetData>
      <sheetData sheetId="2982">
        <row r="52">
          <cell r="B52" t="str">
            <v>Main Panel</v>
          </cell>
        </row>
      </sheetData>
      <sheetData sheetId="2983">
        <row r="52">
          <cell r="B52" t="str">
            <v>Main Panel</v>
          </cell>
        </row>
      </sheetData>
      <sheetData sheetId="2984">
        <row r="52">
          <cell r="B52" t="str">
            <v>Main Panel</v>
          </cell>
        </row>
      </sheetData>
      <sheetData sheetId="2985">
        <row r="52">
          <cell r="B52" t="str">
            <v>Main Panel</v>
          </cell>
        </row>
      </sheetData>
      <sheetData sheetId="2986">
        <row r="52">
          <cell r="B52" t="str">
            <v>Main Panel</v>
          </cell>
        </row>
      </sheetData>
      <sheetData sheetId="2987">
        <row r="52">
          <cell r="B52" t="str">
            <v>Main Panel</v>
          </cell>
        </row>
      </sheetData>
      <sheetData sheetId="2988">
        <row r="52">
          <cell r="B52" t="str">
            <v>Main Panel</v>
          </cell>
        </row>
      </sheetData>
      <sheetData sheetId="2989">
        <row r="52">
          <cell r="B52" t="str">
            <v>Main Panel</v>
          </cell>
        </row>
      </sheetData>
      <sheetData sheetId="2990">
        <row r="52">
          <cell r="B52" t="str">
            <v>Main Panel</v>
          </cell>
        </row>
      </sheetData>
      <sheetData sheetId="2991">
        <row r="52">
          <cell r="B52" t="str">
            <v>Main Panel</v>
          </cell>
        </row>
      </sheetData>
      <sheetData sheetId="2992">
        <row r="52">
          <cell r="B52" t="str">
            <v>Main Panel</v>
          </cell>
        </row>
      </sheetData>
      <sheetData sheetId="2993">
        <row r="52">
          <cell r="B52" t="str">
            <v>Main Panel</v>
          </cell>
        </row>
      </sheetData>
      <sheetData sheetId="2994">
        <row r="52">
          <cell r="B52" t="str">
            <v>Main Panel</v>
          </cell>
        </row>
      </sheetData>
      <sheetData sheetId="2995">
        <row r="52">
          <cell r="B52" t="str">
            <v>Main Panel</v>
          </cell>
        </row>
      </sheetData>
      <sheetData sheetId="2996">
        <row r="52">
          <cell r="B52" t="str">
            <v>Main Panel</v>
          </cell>
        </row>
      </sheetData>
      <sheetData sheetId="2997">
        <row r="52">
          <cell r="B52" t="str">
            <v>Main Panel</v>
          </cell>
        </row>
      </sheetData>
      <sheetData sheetId="2998">
        <row r="52">
          <cell r="B52" t="str">
            <v>Main Panel</v>
          </cell>
        </row>
      </sheetData>
      <sheetData sheetId="2999">
        <row r="52">
          <cell r="B52" t="str">
            <v>Main Panel</v>
          </cell>
        </row>
      </sheetData>
      <sheetData sheetId="3000">
        <row r="52">
          <cell r="B52" t="str">
            <v>Main Panel</v>
          </cell>
        </row>
      </sheetData>
      <sheetData sheetId="3001">
        <row r="52">
          <cell r="B52" t="str">
            <v>Main Panel</v>
          </cell>
        </row>
      </sheetData>
      <sheetData sheetId="3002">
        <row r="52">
          <cell r="B52" t="str">
            <v>Main Panel</v>
          </cell>
        </row>
      </sheetData>
      <sheetData sheetId="3003">
        <row r="52">
          <cell r="B52" t="str">
            <v>Main Panel</v>
          </cell>
        </row>
      </sheetData>
      <sheetData sheetId="3004">
        <row r="52">
          <cell r="B52" t="str">
            <v>Main Panel</v>
          </cell>
        </row>
      </sheetData>
      <sheetData sheetId="3005">
        <row r="52">
          <cell r="B52" t="str">
            <v>Main Panel</v>
          </cell>
        </row>
      </sheetData>
      <sheetData sheetId="3006">
        <row r="52">
          <cell r="B52" t="str">
            <v>Main Panel</v>
          </cell>
        </row>
      </sheetData>
      <sheetData sheetId="3007">
        <row r="52">
          <cell r="B52" t="str">
            <v>Main Panel</v>
          </cell>
        </row>
      </sheetData>
      <sheetData sheetId="3008">
        <row r="52">
          <cell r="B52" t="str">
            <v>Main Panel</v>
          </cell>
        </row>
      </sheetData>
      <sheetData sheetId="3009">
        <row r="52">
          <cell r="B52" t="str">
            <v>Main Panel</v>
          </cell>
        </row>
      </sheetData>
      <sheetData sheetId="3010">
        <row r="52">
          <cell r="B52" t="str">
            <v>Main Panel</v>
          </cell>
        </row>
      </sheetData>
      <sheetData sheetId="3011">
        <row r="52">
          <cell r="B52" t="str">
            <v>Main Panel</v>
          </cell>
        </row>
      </sheetData>
      <sheetData sheetId="3012">
        <row r="52">
          <cell r="B52" t="str">
            <v>Main Panel</v>
          </cell>
        </row>
      </sheetData>
      <sheetData sheetId="3013">
        <row r="52">
          <cell r="B52" t="str">
            <v>Main Panel</v>
          </cell>
        </row>
      </sheetData>
      <sheetData sheetId="3014">
        <row r="52">
          <cell r="B52" t="str">
            <v>Main Panel</v>
          </cell>
        </row>
      </sheetData>
      <sheetData sheetId="3015">
        <row r="52">
          <cell r="B52" t="str">
            <v>Main Panel</v>
          </cell>
        </row>
      </sheetData>
      <sheetData sheetId="3016">
        <row r="52">
          <cell r="B52" t="str">
            <v>Main Panel</v>
          </cell>
        </row>
      </sheetData>
      <sheetData sheetId="3017">
        <row r="52">
          <cell r="B52" t="str">
            <v>Main Panel</v>
          </cell>
        </row>
      </sheetData>
      <sheetData sheetId="3018">
        <row r="52">
          <cell r="B52" t="str">
            <v>Main Panel</v>
          </cell>
        </row>
      </sheetData>
      <sheetData sheetId="3019">
        <row r="52">
          <cell r="B52" t="str">
            <v>Main Panel</v>
          </cell>
        </row>
      </sheetData>
      <sheetData sheetId="3020">
        <row r="52">
          <cell r="B52" t="str">
            <v>Main Panel</v>
          </cell>
        </row>
      </sheetData>
      <sheetData sheetId="3021">
        <row r="52">
          <cell r="B52" t="str">
            <v>Main Panel</v>
          </cell>
        </row>
      </sheetData>
      <sheetData sheetId="3022">
        <row r="52">
          <cell r="B52" t="str">
            <v>Main Panel</v>
          </cell>
        </row>
      </sheetData>
      <sheetData sheetId="3023">
        <row r="52">
          <cell r="B52" t="str">
            <v>Main Panel</v>
          </cell>
        </row>
      </sheetData>
      <sheetData sheetId="3024">
        <row r="52">
          <cell r="B52" t="str">
            <v>Main Panel</v>
          </cell>
        </row>
      </sheetData>
      <sheetData sheetId="3025">
        <row r="52">
          <cell r="B52" t="str">
            <v>Main Panel</v>
          </cell>
        </row>
      </sheetData>
      <sheetData sheetId="3026">
        <row r="52">
          <cell r="B52" t="str">
            <v>Main Panel</v>
          </cell>
        </row>
      </sheetData>
      <sheetData sheetId="3027">
        <row r="52">
          <cell r="B52" t="str">
            <v>Main Panel</v>
          </cell>
        </row>
      </sheetData>
      <sheetData sheetId="3028">
        <row r="52">
          <cell r="B52" t="str">
            <v>Main Panel</v>
          </cell>
        </row>
      </sheetData>
      <sheetData sheetId="3029">
        <row r="52">
          <cell r="B52" t="str">
            <v>Main Panel</v>
          </cell>
        </row>
      </sheetData>
      <sheetData sheetId="3030">
        <row r="52">
          <cell r="B52" t="str">
            <v>Main Panel</v>
          </cell>
        </row>
      </sheetData>
      <sheetData sheetId="3031">
        <row r="52">
          <cell r="B52" t="str">
            <v>Main Panel</v>
          </cell>
        </row>
      </sheetData>
      <sheetData sheetId="3032">
        <row r="52">
          <cell r="B52" t="str">
            <v>Main Panel</v>
          </cell>
        </row>
      </sheetData>
      <sheetData sheetId="3033">
        <row r="52">
          <cell r="B52" t="str">
            <v>Main Panel</v>
          </cell>
        </row>
      </sheetData>
      <sheetData sheetId="3034">
        <row r="52">
          <cell r="B52" t="str">
            <v>Main Panel</v>
          </cell>
        </row>
      </sheetData>
      <sheetData sheetId="3035">
        <row r="52">
          <cell r="B52" t="str">
            <v>Main Panel</v>
          </cell>
        </row>
      </sheetData>
      <sheetData sheetId="3036">
        <row r="52">
          <cell r="B52" t="str">
            <v>Main Panel</v>
          </cell>
        </row>
      </sheetData>
      <sheetData sheetId="3037">
        <row r="52">
          <cell r="B52" t="str">
            <v>Main Panel</v>
          </cell>
        </row>
      </sheetData>
      <sheetData sheetId="3038">
        <row r="52">
          <cell r="B52" t="str">
            <v>Main Panel</v>
          </cell>
        </row>
      </sheetData>
      <sheetData sheetId="3039">
        <row r="52">
          <cell r="B52" t="str">
            <v>Main Panel</v>
          </cell>
        </row>
      </sheetData>
      <sheetData sheetId="3040">
        <row r="52">
          <cell r="B52" t="str">
            <v>Main Panel</v>
          </cell>
        </row>
      </sheetData>
      <sheetData sheetId="3041">
        <row r="52">
          <cell r="B52" t="str">
            <v>Main Panel</v>
          </cell>
        </row>
      </sheetData>
      <sheetData sheetId="3042">
        <row r="52">
          <cell r="B52" t="str">
            <v>Main Panel</v>
          </cell>
        </row>
      </sheetData>
      <sheetData sheetId="3043">
        <row r="52">
          <cell r="B52" t="str">
            <v>Main Panel</v>
          </cell>
        </row>
      </sheetData>
      <sheetData sheetId="3044">
        <row r="52">
          <cell r="B52" t="str">
            <v>Main Panel</v>
          </cell>
        </row>
      </sheetData>
      <sheetData sheetId="3045">
        <row r="52">
          <cell r="B52" t="str">
            <v>Main Panel</v>
          </cell>
        </row>
      </sheetData>
      <sheetData sheetId="3046">
        <row r="52">
          <cell r="B52" t="str">
            <v>Main Panel</v>
          </cell>
        </row>
      </sheetData>
      <sheetData sheetId="3047">
        <row r="52">
          <cell r="B52" t="str">
            <v>Main Panel</v>
          </cell>
        </row>
      </sheetData>
      <sheetData sheetId="3048">
        <row r="52">
          <cell r="B52" t="str">
            <v>Main Panel</v>
          </cell>
        </row>
      </sheetData>
      <sheetData sheetId="3049">
        <row r="52">
          <cell r="B52" t="str">
            <v>Main Panel</v>
          </cell>
        </row>
      </sheetData>
      <sheetData sheetId="3050">
        <row r="52">
          <cell r="B52" t="str">
            <v>Main Panel</v>
          </cell>
        </row>
      </sheetData>
      <sheetData sheetId="3051">
        <row r="52">
          <cell r="B52" t="str">
            <v>Main Panel</v>
          </cell>
        </row>
      </sheetData>
      <sheetData sheetId="3052">
        <row r="52">
          <cell r="B52" t="str">
            <v>Main Panel</v>
          </cell>
        </row>
      </sheetData>
      <sheetData sheetId="3053">
        <row r="52">
          <cell r="B52" t="str">
            <v>Main Panel</v>
          </cell>
        </row>
      </sheetData>
      <sheetData sheetId="3054">
        <row r="52">
          <cell r="B52" t="str">
            <v>Main Panel</v>
          </cell>
        </row>
      </sheetData>
      <sheetData sheetId="3055">
        <row r="52">
          <cell r="B52" t="str">
            <v>Main Panel</v>
          </cell>
        </row>
      </sheetData>
      <sheetData sheetId="3056">
        <row r="52">
          <cell r="B52" t="str">
            <v>Main Panel</v>
          </cell>
        </row>
      </sheetData>
      <sheetData sheetId="3057">
        <row r="52">
          <cell r="B52" t="str">
            <v>Main Panel</v>
          </cell>
        </row>
      </sheetData>
      <sheetData sheetId="3058">
        <row r="52">
          <cell r="B52" t="str">
            <v>Main Panel</v>
          </cell>
        </row>
      </sheetData>
      <sheetData sheetId="3059">
        <row r="52">
          <cell r="B52" t="str">
            <v>Main Panel</v>
          </cell>
        </row>
      </sheetData>
      <sheetData sheetId="3060">
        <row r="52">
          <cell r="B52" t="str">
            <v>Main Panel</v>
          </cell>
        </row>
      </sheetData>
      <sheetData sheetId="3061">
        <row r="52">
          <cell r="B52" t="str">
            <v>Main Panel</v>
          </cell>
        </row>
      </sheetData>
      <sheetData sheetId="3062">
        <row r="52">
          <cell r="B52" t="str">
            <v>Main Panel</v>
          </cell>
        </row>
      </sheetData>
      <sheetData sheetId="3063">
        <row r="52">
          <cell r="B52" t="str">
            <v>Main Panel</v>
          </cell>
        </row>
      </sheetData>
      <sheetData sheetId="3064" refreshError="1"/>
      <sheetData sheetId="3065">
        <row r="52">
          <cell r="B52" t="str">
            <v>Main Panel</v>
          </cell>
        </row>
      </sheetData>
      <sheetData sheetId="3066">
        <row r="52">
          <cell r="B52" t="str">
            <v>Main Panel</v>
          </cell>
        </row>
      </sheetData>
      <sheetData sheetId="3067">
        <row r="52">
          <cell r="B52" t="str">
            <v>Main Panel</v>
          </cell>
        </row>
      </sheetData>
      <sheetData sheetId="3068">
        <row r="52">
          <cell r="B52" t="str">
            <v>Main Panel</v>
          </cell>
        </row>
      </sheetData>
      <sheetData sheetId="3069">
        <row r="52">
          <cell r="B52" t="str">
            <v>Main Panel</v>
          </cell>
        </row>
      </sheetData>
      <sheetData sheetId="3070">
        <row r="52">
          <cell r="B52" t="str">
            <v>Main Panel</v>
          </cell>
        </row>
      </sheetData>
      <sheetData sheetId="3071" refreshError="1"/>
      <sheetData sheetId="3072" refreshError="1"/>
      <sheetData sheetId="3073" refreshError="1"/>
      <sheetData sheetId="3074" refreshError="1"/>
      <sheetData sheetId="3075">
        <row r="52">
          <cell r="B52" t="str">
            <v>Main Panel</v>
          </cell>
        </row>
      </sheetData>
      <sheetData sheetId="3076">
        <row r="52">
          <cell r="B52" t="str">
            <v>Main Panel</v>
          </cell>
        </row>
      </sheetData>
      <sheetData sheetId="3077">
        <row r="52">
          <cell r="B52" t="str">
            <v>Main Panel</v>
          </cell>
        </row>
      </sheetData>
      <sheetData sheetId="3078">
        <row r="52">
          <cell r="B52" t="str">
            <v>Main Panel</v>
          </cell>
        </row>
      </sheetData>
      <sheetData sheetId="3079">
        <row r="52">
          <cell r="B52" t="str">
            <v>Main Panel</v>
          </cell>
        </row>
      </sheetData>
      <sheetData sheetId="3080">
        <row r="52">
          <cell r="B52" t="str">
            <v>Main Panel</v>
          </cell>
        </row>
      </sheetData>
      <sheetData sheetId="3081">
        <row r="52">
          <cell r="B52" t="str">
            <v>Main Panel</v>
          </cell>
        </row>
      </sheetData>
      <sheetData sheetId="3082">
        <row r="52">
          <cell r="B52" t="str">
            <v>Main Panel</v>
          </cell>
        </row>
      </sheetData>
      <sheetData sheetId="3083">
        <row r="52">
          <cell r="B52" t="str">
            <v>Main Panel</v>
          </cell>
        </row>
      </sheetData>
      <sheetData sheetId="3084">
        <row r="52">
          <cell r="B52" t="str">
            <v>Main Panel</v>
          </cell>
        </row>
      </sheetData>
      <sheetData sheetId="3085">
        <row r="52">
          <cell r="B52" t="str">
            <v>Main Panel</v>
          </cell>
        </row>
      </sheetData>
      <sheetData sheetId="3086">
        <row r="52">
          <cell r="B52" t="str">
            <v>Main Panel</v>
          </cell>
        </row>
      </sheetData>
      <sheetData sheetId="3087">
        <row r="52">
          <cell r="B52" t="str">
            <v>Main Panel</v>
          </cell>
        </row>
      </sheetData>
      <sheetData sheetId="3088">
        <row r="52">
          <cell r="B52" t="str">
            <v>Main Panel</v>
          </cell>
        </row>
      </sheetData>
      <sheetData sheetId="3089">
        <row r="52">
          <cell r="B52" t="str">
            <v>Main Panel</v>
          </cell>
        </row>
      </sheetData>
      <sheetData sheetId="3090">
        <row r="52">
          <cell r="B52" t="str">
            <v>Main Panel</v>
          </cell>
        </row>
      </sheetData>
      <sheetData sheetId="3091">
        <row r="52">
          <cell r="B52" t="str">
            <v>Main Panel</v>
          </cell>
        </row>
      </sheetData>
      <sheetData sheetId="3092" refreshError="1"/>
      <sheetData sheetId="3093" refreshError="1"/>
      <sheetData sheetId="3094">
        <row r="52">
          <cell r="B52" t="str">
            <v>Main Panel</v>
          </cell>
        </row>
      </sheetData>
      <sheetData sheetId="3095" refreshError="1"/>
      <sheetData sheetId="3096" refreshError="1"/>
      <sheetData sheetId="3097" refreshError="1"/>
      <sheetData sheetId="3098" refreshError="1"/>
      <sheetData sheetId="3099">
        <row r="52">
          <cell r="B52" t="str">
            <v>Main Panel</v>
          </cell>
        </row>
      </sheetData>
      <sheetData sheetId="3100">
        <row r="52">
          <cell r="B52" t="str">
            <v>Main Panel</v>
          </cell>
        </row>
      </sheetData>
      <sheetData sheetId="3101">
        <row r="52">
          <cell r="B52" t="str">
            <v>Main Panel</v>
          </cell>
        </row>
      </sheetData>
      <sheetData sheetId="3102" refreshError="1"/>
      <sheetData sheetId="3103">
        <row r="52">
          <cell r="B52" t="str">
            <v>Main Panel</v>
          </cell>
        </row>
      </sheetData>
      <sheetData sheetId="3104">
        <row r="52">
          <cell r="B52" t="str">
            <v>Main Panel</v>
          </cell>
        </row>
      </sheetData>
      <sheetData sheetId="3105">
        <row r="52">
          <cell r="B52" t="str">
            <v>Main Panel</v>
          </cell>
        </row>
      </sheetData>
      <sheetData sheetId="3106">
        <row r="52">
          <cell r="B52" t="str">
            <v>Main Panel</v>
          </cell>
        </row>
      </sheetData>
      <sheetData sheetId="3107">
        <row r="52">
          <cell r="B52" t="str">
            <v>Main Panel</v>
          </cell>
        </row>
      </sheetData>
      <sheetData sheetId="3108">
        <row r="52">
          <cell r="B52" t="str">
            <v>Main Panel</v>
          </cell>
        </row>
      </sheetData>
      <sheetData sheetId="3109">
        <row r="52">
          <cell r="B52" t="str">
            <v>Main Panel</v>
          </cell>
        </row>
      </sheetData>
      <sheetData sheetId="3110">
        <row r="52">
          <cell r="B52" t="str">
            <v>Main Panel</v>
          </cell>
        </row>
      </sheetData>
      <sheetData sheetId="3111">
        <row r="52">
          <cell r="B52" t="str">
            <v>Main Panel</v>
          </cell>
        </row>
      </sheetData>
      <sheetData sheetId="3112">
        <row r="52">
          <cell r="B52" t="str">
            <v>Main Panel</v>
          </cell>
        </row>
      </sheetData>
      <sheetData sheetId="3113">
        <row r="52">
          <cell r="B52" t="str">
            <v>Main Panel</v>
          </cell>
        </row>
      </sheetData>
      <sheetData sheetId="3114">
        <row r="52">
          <cell r="B52" t="str">
            <v>Main Panel</v>
          </cell>
        </row>
      </sheetData>
      <sheetData sheetId="3115">
        <row r="52">
          <cell r="B52" t="str">
            <v>Main Panel</v>
          </cell>
        </row>
      </sheetData>
      <sheetData sheetId="3116">
        <row r="52">
          <cell r="B52" t="str">
            <v>Main Panel</v>
          </cell>
        </row>
      </sheetData>
      <sheetData sheetId="3117"/>
      <sheetData sheetId="3118"/>
      <sheetData sheetId="3119"/>
      <sheetData sheetId="3120"/>
      <sheetData sheetId="3121"/>
      <sheetData sheetId="3122"/>
      <sheetData sheetId="3123"/>
      <sheetData sheetId="3124"/>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sheetData sheetId="3163"/>
      <sheetData sheetId="3164"/>
      <sheetData sheetId="3165">
        <row r="52">
          <cell r="B52" t="str">
            <v>Main Panel</v>
          </cell>
        </row>
      </sheetData>
      <sheetData sheetId="3166"/>
      <sheetData sheetId="3167">
        <row r="52">
          <cell r="B52" t="str">
            <v>Main Panel</v>
          </cell>
        </row>
      </sheetData>
      <sheetData sheetId="3168"/>
      <sheetData sheetId="3169">
        <row r="52">
          <cell r="B52" t="str">
            <v>Main Panel</v>
          </cell>
        </row>
      </sheetData>
      <sheetData sheetId="3170">
        <row r="52">
          <cell r="B52" t="str">
            <v>Main Panel</v>
          </cell>
        </row>
      </sheetData>
      <sheetData sheetId="3171">
        <row r="52">
          <cell r="B52" t="str">
            <v>Main Panel</v>
          </cell>
        </row>
      </sheetData>
      <sheetData sheetId="3172">
        <row r="52">
          <cell r="B52" t="str">
            <v>Main Panel</v>
          </cell>
        </row>
      </sheetData>
      <sheetData sheetId="3173">
        <row r="52">
          <cell r="B52" t="str">
            <v>Main Panel</v>
          </cell>
        </row>
      </sheetData>
      <sheetData sheetId="3174">
        <row r="52">
          <cell r="B52" t="str">
            <v>Main Panel</v>
          </cell>
        </row>
      </sheetData>
      <sheetData sheetId="3175">
        <row r="52">
          <cell r="B52" t="str">
            <v>Main Panel</v>
          </cell>
        </row>
      </sheetData>
      <sheetData sheetId="3176">
        <row r="52">
          <cell r="B52" t="str">
            <v>Main Panel</v>
          </cell>
        </row>
      </sheetData>
      <sheetData sheetId="3177">
        <row r="52">
          <cell r="B52" t="str">
            <v>Main Panel</v>
          </cell>
        </row>
      </sheetData>
      <sheetData sheetId="3178">
        <row r="52">
          <cell r="B52" t="str">
            <v>Main Panel</v>
          </cell>
        </row>
      </sheetData>
      <sheetData sheetId="3179">
        <row r="52">
          <cell r="B52" t="str">
            <v>Main Panel</v>
          </cell>
        </row>
      </sheetData>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row r="52">
          <cell r="B52" t="str">
            <v>Main Panel</v>
          </cell>
        </row>
      </sheetData>
      <sheetData sheetId="3209" refreshError="1"/>
      <sheetData sheetId="3210" refreshError="1"/>
      <sheetData sheetId="3211" refreshError="1"/>
      <sheetData sheetId="3212" refreshError="1"/>
      <sheetData sheetId="3213" refreshError="1"/>
      <sheetData sheetId="3214" refreshError="1"/>
      <sheetData sheetId="3215"/>
      <sheetData sheetId="3216">
        <row r="52">
          <cell r="B52" t="str">
            <v>Main Panel</v>
          </cell>
        </row>
      </sheetData>
      <sheetData sheetId="3217"/>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ow r="52">
          <cell r="B52" t="str">
            <v>Main Panel</v>
          </cell>
        </row>
      </sheetData>
      <sheetData sheetId="3261">
        <row r="52">
          <cell r="B52" t="str">
            <v>Main Panel</v>
          </cell>
        </row>
      </sheetData>
      <sheetData sheetId="3262" refreshError="1"/>
      <sheetData sheetId="3263">
        <row r="52">
          <cell r="B52" t="str">
            <v>Main Panel</v>
          </cell>
        </row>
      </sheetData>
      <sheetData sheetId="3264">
        <row r="52">
          <cell r="B52" t="str">
            <v>Main Panel</v>
          </cell>
        </row>
      </sheetData>
      <sheetData sheetId="3265">
        <row r="52">
          <cell r="B52" t="str">
            <v>Main Panel</v>
          </cell>
        </row>
      </sheetData>
      <sheetData sheetId="3266">
        <row r="52">
          <cell r="B52" t="str">
            <v>Main Panel</v>
          </cell>
        </row>
      </sheetData>
      <sheetData sheetId="3267">
        <row r="52">
          <cell r="B52" t="str">
            <v>Main Panel</v>
          </cell>
        </row>
      </sheetData>
      <sheetData sheetId="3268" refreshError="1"/>
      <sheetData sheetId="3269" refreshError="1"/>
      <sheetData sheetId="3270" refreshError="1"/>
      <sheetData sheetId="3271" refreshError="1"/>
      <sheetData sheetId="3272">
        <row r="52">
          <cell r="B52" t="str">
            <v>Main Panel</v>
          </cell>
        </row>
      </sheetData>
      <sheetData sheetId="3273">
        <row r="52">
          <cell r="B52" t="str">
            <v>Main Panel</v>
          </cell>
        </row>
      </sheetData>
      <sheetData sheetId="3274">
        <row r="52">
          <cell r="B52" t="str">
            <v>Main Panel</v>
          </cell>
        </row>
      </sheetData>
      <sheetData sheetId="3275">
        <row r="52">
          <cell r="B52" t="str">
            <v>Main Panel</v>
          </cell>
        </row>
      </sheetData>
      <sheetData sheetId="3276">
        <row r="52">
          <cell r="B52" t="str">
            <v>Main Panel</v>
          </cell>
        </row>
      </sheetData>
      <sheetData sheetId="3277">
        <row r="52">
          <cell r="B52" t="str">
            <v>Main Panel</v>
          </cell>
        </row>
      </sheetData>
      <sheetData sheetId="3278">
        <row r="52">
          <cell r="B52" t="str">
            <v>Main Panel</v>
          </cell>
        </row>
      </sheetData>
      <sheetData sheetId="3279">
        <row r="52">
          <cell r="B52" t="str">
            <v>Main Panel</v>
          </cell>
        </row>
      </sheetData>
      <sheetData sheetId="3280">
        <row r="52">
          <cell r="B52" t="str">
            <v>Main Panel</v>
          </cell>
        </row>
      </sheetData>
      <sheetData sheetId="3281">
        <row r="52">
          <cell r="B52" t="str">
            <v>Main Panel</v>
          </cell>
        </row>
      </sheetData>
      <sheetData sheetId="3282">
        <row r="52">
          <cell r="B52" t="str">
            <v>Main Panel</v>
          </cell>
        </row>
      </sheetData>
      <sheetData sheetId="3283">
        <row r="52">
          <cell r="B52" t="str">
            <v>Main Panel</v>
          </cell>
        </row>
      </sheetData>
      <sheetData sheetId="3284">
        <row r="52">
          <cell r="B52" t="str">
            <v>Main Panel</v>
          </cell>
        </row>
      </sheetData>
      <sheetData sheetId="3285">
        <row r="52">
          <cell r="B52" t="str">
            <v>Main Panel</v>
          </cell>
        </row>
      </sheetData>
      <sheetData sheetId="3286">
        <row r="52">
          <cell r="B52" t="str">
            <v>Main Panel</v>
          </cell>
        </row>
      </sheetData>
      <sheetData sheetId="3287">
        <row r="52">
          <cell r="B52" t="str">
            <v>Main Panel</v>
          </cell>
        </row>
      </sheetData>
      <sheetData sheetId="3288">
        <row r="52">
          <cell r="B52" t="str">
            <v>Main Panel</v>
          </cell>
        </row>
      </sheetData>
      <sheetData sheetId="3289">
        <row r="52">
          <cell r="B52" t="str">
            <v>Main Panel</v>
          </cell>
        </row>
      </sheetData>
      <sheetData sheetId="3290">
        <row r="52">
          <cell r="B52" t="str">
            <v>Main Panel</v>
          </cell>
        </row>
      </sheetData>
      <sheetData sheetId="3291">
        <row r="52">
          <cell r="B52" t="str">
            <v>Main Panel</v>
          </cell>
        </row>
      </sheetData>
      <sheetData sheetId="3292">
        <row r="52">
          <cell r="B52" t="str">
            <v>Main Panel</v>
          </cell>
        </row>
      </sheetData>
      <sheetData sheetId="3293">
        <row r="52">
          <cell r="B52" t="str">
            <v>Main Panel</v>
          </cell>
        </row>
      </sheetData>
      <sheetData sheetId="3294">
        <row r="52">
          <cell r="B52" t="str">
            <v>Main Panel</v>
          </cell>
        </row>
      </sheetData>
      <sheetData sheetId="3295">
        <row r="52">
          <cell r="B52" t="str">
            <v>Main Panel</v>
          </cell>
        </row>
      </sheetData>
      <sheetData sheetId="3296">
        <row r="52">
          <cell r="B52" t="str">
            <v>Main Panel</v>
          </cell>
        </row>
      </sheetData>
      <sheetData sheetId="3297">
        <row r="52">
          <cell r="B52" t="str">
            <v>Main Panel</v>
          </cell>
        </row>
      </sheetData>
      <sheetData sheetId="3298">
        <row r="52">
          <cell r="B52" t="str">
            <v>Main Panel</v>
          </cell>
        </row>
      </sheetData>
      <sheetData sheetId="3299">
        <row r="52">
          <cell r="B52" t="str">
            <v>Main Panel</v>
          </cell>
        </row>
      </sheetData>
      <sheetData sheetId="3300">
        <row r="52">
          <cell r="B52" t="str">
            <v>Main Panel</v>
          </cell>
        </row>
      </sheetData>
      <sheetData sheetId="3301">
        <row r="52">
          <cell r="B52" t="str">
            <v>Main Panel</v>
          </cell>
        </row>
      </sheetData>
      <sheetData sheetId="3302">
        <row r="52">
          <cell r="B52" t="str">
            <v>Main Panel</v>
          </cell>
        </row>
      </sheetData>
      <sheetData sheetId="3303">
        <row r="52">
          <cell r="B52" t="str">
            <v>Main Panel</v>
          </cell>
        </row>
      </sheetData>
      <sheetData sheetId="3304">
        <row r="52">
          <cell r="B52" t="str">
            <v>Main Panel</v>
          </cell>
        </row>
      </sheetData>
      <sheetData sheetId="3305">
        <row r="52">
          <cell r="B52" t="str">
            <v>Main Panel</v>
          </cell>
        </row>
      </sheetData>
      <sheetData sheetId="3306">
        <row r="52">
          <cell r="B52" t="str">
            <v>Main Panel</v>
          </cell>
        </row>
      </sheetData>
      <sheetData sheetId="3307">
        <row r="52">
          <cell r="B52" t="str">
            <v>Main Panel</v>
          </cell>
        </row>
      </sheetData>
      <sheetData sheetId="3308">
        <row r="52">
          <cell r="B52" t="str">
            <v>Main Panel</v>
          </cell>
        </row>
      </sheetData>
      <sheetData sheetId="3309">
        <row r="52">
          <cell r="B52" t="str">
            <v>Main Panel</v>
          </cell>
        </row>
      </sheetData>
      <sheetData sheetId="3310">
        <row r="52">
          <cell r="B52" t="str">
            <v>Main Panel</v>
          </cell>
        </row>
      </sheetData>
      <sheetData sheetId="3311">
        <row r="52">
          <cell r="B52" t="str">
            <v>Main Panel</v>
          </cell>
        </row>
      </sheetData>
      <sheetData sheetId="3312">
        <row r="52">
          <cell r="B52" t="str">
            <v>Main Panel</v>
          </cell>
        </row>
      </sheetData>
      <sheetData sheetId="3313">
        <row r="52">
          <cell r="B52" t="str">
            <v>Main Panel</v>
          </cell>
        </row>
      </sheetData>
      <sheetData sheetId="3314">
        <row r="52">
          <cell r="B52" t="str">
            <v>Main Panel</v>
          </cell>
        </row>
      </sheetData>
      <sheetData sheetId="3315">
        <row r="52">
          <cell r="B52" t="str">
            <v>Main Panel</v>
          </cell>
        </row>
      </sheetData>
      <sheetData sheetId="3316">
        <row r="52">
          <cell r="B52" t="str">
            <v>Main Panel</v>
          </cell>
        </row>
      </sheetData>
      <sheetData sheetId="3317">
        <row r="52">
          <cell r="B52" t="str">
            <v>Main Panel</v>
          </cell>
        </row>
      </sheetData>
      <sheetData sheetId="3318">
        <row r="52">
          <cell r="B52" t="str">
            <v>Main Panel</v>
          </cell>
        </row>
      </sheetData>
      <sheetData sheetId="3319">
        <row r="52">
          <cell r="B52" t="str">
            <v>Main Panel</v>
          </cell>
        </row>
      </sheetData>
      <sheetData sheetId="3320">
        <row r="52">
          <cell r="B52" t="str">
            <v>Main Panel</v>
          </cell>
        </row>
      </sheetData>
      <sheetData sheetId="3321">
        <row r="52">
          <cell r="B52" t="str">
            <v>Main Panel</v>
          </cell>
        </row>
      </sheetData>
      <sheetData sheetId="3322">
        <row r="52">
          <cell r="B52" t="str">
            <v>Main Panel</v>
          </cell>
        </row>
      </sheetData>
      <sheetData sheetId="3323">
        <row r="52">
          <cell r="B52" t="str">
            <v>Main Panel</v>
          </cell>
        </row>
      </sheetData>
      <sheetData sheetId="3324">
        <row r="52">
          <cell r="B52" t="str">
            <v>Main Panel</v>
          </cell>
        </row>
      </sheetData>
      <sheetData sheetId="3325">
        <row r="52">
          <cell r="B52" t="str">
            <v>Main Panel</v>
          </cell>
        </row>
      </sheetData>
      <sheetData sheetId="3326">
        <row r="52">
          <cell r="B52" t="str">
            <v>Main Panel</v>
          </cell>
        </row>
      </sheetData>
      <sheetData sheetId="3327">
        <row r="52">
          <cell r="B52" t="str">
            <v>Main Panel</v>
          </cell>
        </row>
      </sheetData>
      <sheetData sheetId="3328">
        <row r="52">
          <cell r="B52" t="str">
            <v>Main Panel</v>
          </cell>
        </row>
      </sheetData>
      <sheetData sheetId="3329">
        <row r="52">
          <cell r="B52" t="str">
            <v>Main Panel</v>
          </cell>
        </row>
      </sheetData>
      <sheetData sheetId="3330">
        <row r="52">
          <cell r="B52" t="str">
            <v>Main Panel</v>
          </cell>
        </row>
      </sheetData>
      <sheetData sheetId="3331">
        <row r="52">
          <cell r="B52" t="str">
            <v>Main Panel</v>
          </cell>
        </row>
      </sheetData>
      <sheetData sheetId="3332">
        <row r="52">
          <cell r="B52" t="str">
            <v>Main Panel</v>
          </cell>
        </row>
      </sheetData>
      <sheetData sheetId="3333">
        <row r="52">
          <cell r="B52" t="str">
            <v>Main Panel</v>
          </cell>
        </row>
      </sheetData>
      <sheetData sheetId="3334">
        <row r="52">
          <cell r="B52" t="str">
            <v>Main Panel</v>
          </cell>
        </row>
      </sheetData>
      <sheetData sheetId="3335">
        <row r="52">
          <cell r="B52" t="str">
            <v>Main Panel</v>
          </cell>
        </row>
      </sheetData>
      <sheetData sheetId="3336">
        <row r="52">
          <cell r="B52" t="str">
            <v>Main Panel</v>
          </cell>
        </row>
      </sheetData>
      <sheetData sheetId="3337">
        <row r="52">
          <cell r="B52" t="str">
            <v>Main Panel</v>
          </cell>
        </row>
      </sheetData>
      <sheetData sheetId="3338">
        <row r="52">
          <cell r="B52" t="str">
            <v>Main Panel</v>
          </cell>
        </row>
      </sheetData>
      <sheetData sheetId="3339">
        <row r="52">
          <cell r="B52" t="str">
            <v>Main Panel</v>
          </cell>
        </row>
      </sheetData>
      <sheetData sheetId="3340">
        <row r="52">
          <cell r="B52" t="str">
            <v>Main Panel</v>
          </cell>
        </row>
      </sheetData>
      <sheetData sheetId="3341">
        <row r="52">
          <cell r="B52" t="str">
            <v>Main Panel</v>
          </cell>
        </row>
      </sheetData>
      <sheetData sheetId="3342">
        <row r="52">
          <cell r="B52" t="str">
            <v>Main Panel</v>
          </cell>
        </row>
      </sheetData>
      <sheetData sheetId="3343">
        <row r="52">
          <cell r="B52" t="str">
            <v>Main Panel</v>
          </cell>
        </row>
      </sheetData>
      <sheetData sheetId="3344">
        <row r="52">
          <cell r="B52" t="str">
            <v>Main Panel</v>
          </cell>
        </row>
      </sheetData>
      <sheetData sheetId="3345">
        <row r="52">
          <cell r="B52" t="str">
            <v>Main Panel</v>
          </cell>
        </row>
      </sheetData>
      <sheetData sheetId="3346">
        <row r="52">
          <cell r="B52" t="str">
            <v>Main Panel</v>
          </cell>
        </row>
      </sheetData>
      <sheetData sheetId="3347">
        <row r="52">
          <cell r="B52" t="str">
            <v>Main Panel</v>
          </cell>
        </row>
      </sheetData>
      <sheetData sheetId="3348">
        <row r="52">
          <cell r="B52" t="str">
            <v>Main Panel</v>
          </cell>
        </row>
      </sheetData>
      <sheetData sheetId="3349">
        <row r="52">
          <cell r="B52" t="str">
            <v>Main Panel</v>
          </cell>
        </row>
      </sheetData>
      <sheetData sheetId="3350">
        <row r="52">
          <cell r="B52" t="str">
            <v>Main Panel</v>
          </cell>
        </row>
      </sheetData>
      <sheetData sheetId="3351">
        <row r="52">
          <cell r="B52" t="str">
            <v>Main Panel</v>
          </cell>
        </row>
      </sheetData>
      <sheetData sheetId="3352">
        <row r="52">
          <cell r="B52" t="str">
            <v>Main Panel</v>
          </cell>
        </row>
      </sheetData>
      <sheetData sheetId="3353">
        <row r="52">
          <cell r="B52" t="str">
            <v>Main Panel</v>
          </cell>
        </row>
      </sheetData>
      <sheetData sheetId="3354">
        <row r="52">
          <cell r="B52" t="str">
            <v>Main Panel</v>
          </cell>
        </row>
      </sheetData>
      <sheetData sheetId="3355">
        <row r="52">
          <cell r="B52" t="str">
            <v>Main Panel</v>
          </cell>
        </row>
      </sheetData>
      <sheetData sheetId="3356">
        <row r="52">
          <cell r="B52" t="str">
            <v>Main Panel</v>
          </cell>
        </row>
      </sheetData>
      <sheetData sheetId="3357">
        <row r="52">
          <cell r="B52" t="str">
            <v>Main Panel</v>
          </cell>
        </row>
      </sheetData>
      <sheetData sheetId="3358">
        <row r="52">
          <cell r="B52" t="str">
            <v>Main Panel</v>
          </cell>
        </row>
      </sheetData>
      <sheetData sheetId="3359">
        <row r="52">
          <cell r="B52" t="str">
            <v>Main Panel</v>
          </cell>
        </row>
      </sheetData>
      <sheetData sheetId="3360">
        <row r="52">
          <cell r="B52" t="str">
            <v>Main Panel</v>
          </cell>
        </row>
      </sheetData>
      <sheetData sheetId="3361">
        <row r="52">
          <cell r="B52" t="str">
            <v>Main Panel</v>
          </cell>
        </row>
      </sheetData>
      <sheetData sheetId="3362">
        <row r="52">
          <cell r="B52" t="str">
            <v>Main Panel</v>
          </cell>
        </row>
      </sheetData>
      <sheetData sheetId="3363">
        <row r="52">
          <cell r="B52" t="str">
            <v>Main Panel</v>
          </cell>
        </row>
      </sheetData>
      <sheetData sheetId="3364">
        <row r="52">
          <cell r="B52" t="str">
            <v>Main Panel</v>
          </cell>
        </row>
      </sheetData>
      <sheetData sheetId="3365">
        <row r="52">
          <cell r="B52" t="str">
            <v>Main Panel</v>
          </cell>
        </row>
      </sheetData>
      <sheetData sheetId="3366">
        <row r="52">
          <cell r="B52" t="str">
            <v>Main Panel</v>
          </cell>
        </row>
      </sheetData>
      <sheetData sheetId="3367">
        <row r="52">
          <cell r="B52" t="str">
            <v>Main Panel</v>
          </cell>
        </row>
      </sheetData>
      <sheetData sheetId="3368">
        <row r="52">
          <cell r="B52" t="str">
            <v>Main Panel</v>
          </cell>
        </row>
      </sheetData>
      <sheetData sheetId="3369">
        <row r="52">
          <cell r="B52" t="str">
            <v>Main Panel</v>
          </cell>
        </row>
      </sheetData>
      <sheetData sheetId="3370">
        <row r="52">
          <cell r="B52" t="str">
            <v>Main Panel</v>
          </cell>
        </row>
      </sheetData>
      <sheetData sheetId="3371">
        <row r="52">
          <cell r="B52" t="str">
            <v>Main Panel</v>
          </cell>
        </row>
      </sheetData>
      <sheetData sheetId="3372">
        <row r="52">
          <cell r="B52" t="str">
            <v>Main Panel</v>
          </cell>
        </row>
      </sheetData>
      <sheetData sheetId="3373">
        <row r="52">
          <cell r="B52" t="str">
            <v>Main Panel</v>
          </cell>
        </row>
      </sheetData>
      <sheetData sheetId="3374">
        <row r="52">
          <cell r="B52" t="str">
            <v>Main Panel</v>
          </cell>
        </row>
      </sheetData>
      <sheetData sheetId="3375">
        <row r="52">
          <cell r="B52" t="str">
            <v>Main Panel</v>
          </cell>
        </row>
      </sheetData>
      <sheetData sheetId="3376">
        <row r="52">
          <cell r="B52" t="str">
            <v>Main Panel</v>
          </cell>
        </row>
      </sheetData>
      <sheetData sheetId="3377">
        <row r="52">
          <cell r="B52" t="str">
            <v>Main Panel</v>
          </cell>
        </row>
      </sheetData>
      <sheetData sheetId="3378">
        <row r="52">
          <cell r="B52" t="str">
            <v>Main Panel</v>
          </cell>
        </row>
      </sheetData>
      <sheetData sheetId="3379">
        <row r="52">
          <cell r="B52" t="str">
            <v>Main Panel</v>
          </cell>
        </row>
      </sheetData>
      <sheetData sheetId="3380">
        <row r="52">
          <cell r="B52" t="str">
            <v>Main Panel</v>
          </cell>
        </row>
      </sheetData>
      <sheetData sheetId="3381">
        <row r="52">
          <cell r="B52" t="str">
            <v>Main Panel</v>
          </cell>
        </row>
      </sheetData>
      <sheetData sheetId="3382">
        <row r="52">
          <cell r="B52" t="str">
            <v>Main Panel</v>
          </cell>
        </row>
      </sheetData>
      <sheetData sheetId="3383">
        <row r="52">
          <cell r="B52" t="str">
            <v>Main Panel</v>
          </cell>
        </row>
      </sheetData>
      <sheetData sheetId="3384">
        <row r="52">
          <cell r="B52" t="str">
            <v>Main Panel</v>
          </cell>
        </row>
      </sheetData>
      <sheetData sheetId="3385">
        <row r="52">
          <cell r="B52" t="str">
            <v>Main Panel</v>
          </cell>
        </row>
      </sheetData>
      <sheetData sheetId="3386">
        <row r="52">
          <cell r="B52" t="str">
            <v>Main Panel</v>
          </cell>
        </row>
      </sheetData>
      <sheetData sheetId="3387">
        <row r="52">
          <cell r="B52" t="str">
            <v>Main Panel</v>
          </cell>
        </row>
      </sheetData>
      <sheetData sheetId="3388">
        <row r="52">
          <cell r="B52" t="str">
            <v>Main Panel</v>
          </cell>
        </row>
      </sheetData>
      <sheetData sheetId="3389">
        <row r="52">
          <cell r="B52" t="str">
            <v>Main Panel</v>
          </cell>
        </row>
      </sheetData>
      <sheetData sheetId="3390">
        <row r="52">
          <cell r="B52" t="str">
            <v>Main Panel</v>
          </cell>
        </row>
      </sheetData>
      <sheetData sheetId="3391">
        <row r="52">
          <cell r="B52" t="str">
            <v>Main Panel</v>
          </cell>
        </row>
      </sheetData>
      <sheetData sheetId="3392">
        <row r="52">
          <cell r="B52" t="str">
            <v>Main Panel</v>
          </cell>
        </row>
      </sheetData>
      <sheetData sheetId="3393">
        <row r="52">
          <cell r="B52" t="str">
            <v>Main Panel</v>
          </cell>
        </row>
      </sheetData>
      <sheetData sheetId="3394">
        <row r="52">
          <cell r="B52" t="str">
            <v>Main Panel</v>
          </cell>
        </row>
      </sheetData>
      <sheetData sheetId="3395">
        <row r="52">
          <cell r="B52" t="str">
            <v>Main Panel</v>
          </cell>
        </row>
      </sheetData>
      <sheetData sheetId="3396" refreshError="1"/>
      <sheetData sheetId="3397" refreshError="1"/>
      <sheetData sheetId="3398" refreshError="1"/>
      <sheetData sheetId="3399" refreshError="1"/>
      <sheetData sheetId="3400">
        <row r="52">
          <cell r="B52" t="str">
            <v>Main Panel</v>
          </cell>
        </row>
      </sheetData>
      <sheetData sheetId="3401" refreshError="1"/>
      <sheetData sheetId="3402" refreshError="1"/>
      <sheetData sheetId="3403">
        <row r="52">
          <cell r="B52" t="str">
            <v>Main Panel</v>
          </cell>
        </row>
      </sheetData>
      <sheetData sheetId="3404" refreshError="1"/>
      <sheetData sheetId="3405" refreshError="1"/>
      <sheetData sheetId="3406">
        <row r="52">
          <cell r="B52" t="str">
            <v>Main Panel</v>
          </cell>
        </row>
      </sheetData>
      <sheetData sheetId="3407">
        <row r="52">
          <cell r="B52" t="str">
            <v>Main Panel</v>
          </cell>
        </row>
      </sheetData>
      <sheetData sheetId="3408">
        <row r="52">
          <cell r="B52" t="str">
            <v>Main Panel</v>
          </cell>
        </row>
      </sheetData>
      <sheetData sheetId="3409">
        <row r="52">
          <cell r="B52" t="str">
            <v>Main Panel</v>
          </cell>
        </row>
      </sheetData>
      <sheetData sheetId="3410">
        <row r="52">
          <cell r="B52" t="str">
            <v>Main Panel</v>
          </cell>
        </row>
      </sheetData>
      <sheetData sheetId="3411">
        <row r="52">
          <cell r="B52" t="str">
            <v>Main Panel</v>
          </cell>
        </row>
      </sheetData>
      <sheetData sheetId="3412">
        <row r="52">
          <cell r="B52" t="str">
            <v>Main Panel</v>
          </cell>
        </row>
      </sheetData>
      <sheetData sheetId="3413">
        <row r="52">
          <cell r="B52" t="str">
            <v>Main Panel</v>
          </cell>
        </row>
      </sheetData>
      <sheetData sheetId="3414" refreshError="1"/>
      <sheetData sheetId="3415" refreshError="1"/>
      <sheetData sheetId="3416" refreshError="1"/>
      <sheetData sheetId="3417" refreshError="1"/>
      <sheetData sheetId="3418">
        <row r="52">
          <cell r="B52" t="str">
            <v>Main Panel</v>
          </cell>
        </row>
      </sheetData>
      <sheetData sheetId="3419" refreshError="1"/>
      <sheetData sheetId="3420" refreshError="1"/>
      <sheetData sheetId="3421">
        <row r="52">
          <cell r="B52" t="str">
            <v>Main Panel</v>
          </cell>
        </row>
      </sheetData>
      <sheetData sheetId="3422">
        <row r="52">
          <cell r="B52" t="str">
            <v>Main Panel</v>
          </cell>
        </row>
      </sheetData>
      <sheetData sheetId="3423">
        <row r="52">
          <cell r="B52" t="str">
            <v>Main Panel</v>
          </cell>
        </row>
      </sheetData>
      <sheetData sheetId="3424">
        <row r="52">
          <cell r="B52" t="str">
            <v>Main Panel</v>
          </cell>
        </row>
      </sheetData>
      <sheetData sheetId="3425">
        <row r="52">
          <cell r="B52" t="str">
            <v>Main Panel</v>
          </cell>
        </row>
      </sheetData>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ow r="52">
          <cell r="B52" t="str">
            <v>Main Panel</v>
          </cell>
        </row>
      </sheetData>
      <sheetData sheetId="3517">
        <row r="52">
          <cell r="B52" t="str">
            <v>Main Panel</v>
          </cell>
        </row>
      </sheetData>
      <sheetData sheetId="3518">
        <row r="52">
          <cell r="B52" t="str">
            <v>Main Panel</v>
          </cell>
        </row>
      </sheetData>
      <sheetData sheetId="3519">
        <row r="52">
          <cell r="B52" t="str">
            <v>Main Panel</v>
          </cell>
        </row>
      </sheetData>
      <sheetData sheetId="3520">
        <row r="52">
          <cell r="B52" t="str">
            <v>Main Panel</v>
          </cell>
        </row>
      </sheetData>
      <sheetData sheetId="3521">
        <row r="52">
          <cell r="B52" t="str">
            <v>Main Panel</v>
          </cell>
        </row>
      </sheetData>
      <sheetData sheetId="3522">
        <row r="52">
          <cell r="B52" t="str">
            <v>Main Panel</v>
          </cell>
        </row>
      </sheetData>
      <sheetData sheetId="3523">
        <row r="52">
          <cell r="B52" t="str">
            <v>Main Panel</v>
          </cell>
        </row>
      </sheetData>
      <sheetData sheetId="3524">
        <row r="52">
          <cell r="B52" t="str">
            <v>Main Panel</v>
          </cell>
        </row>
      </sheetData>
      <sheetData sheetId="3525">
        <row r="52">
          <cell r="B52" t="str">
            <v>Main Panel</v>
          </cell>
        </row>
      </sheetData>
      <sheetData sheetId="3526">
        <row r="52">
          <cell r="B52" t="str">
            <v>Main Panel</v>
          </cell>
        </row>
      </sheetData>
      <sheetData sheetId="3527">
        <row r="52">
          <cell r="B52" t="str">
            <v>Main Panel</v>
          </cell>
        </row>
      </sheetData>
      <sheetData sheetId="3528">
        <row r="52">
          <cell r="B52" t="str">
            <v>Main Panel</v>
          </cell>
        </row>
      </sheetData>
      <sheetData sheetId="3529">
        <row r="52">
          <cell r="B52" t="str">
            <v>Main Panel</v>
          </cell>
        </row>
      </sheetData>
      <sheetData sheetId="3530">
        <row r="52">
          <cell r="B52" t="str">
            <v>Main Panel</v>
          </cell>
        </row>
      </sheetData>
      <sheetData sheetId="3531">
        <row r="52">
          <cell r="B52" t="str">
            <v>Main Panel</v>
          </cell>
        </row>
      </sheetData>
      <sheetData sheetId="3532">
        <row r="52">
          <cell r="B52" t="str">
            <v>Main Panel</v>
          </cell>
        </row>
      </sheetData>
      <sheetData sheetId="3533">
        <row r="52">
          <cell r="B52" t="str">
            <v>Main Panel</v>
          </cell>
        </row>
      </sheetData>
      <sheetData sheetId="3534">
        <row r="52">
          <cell r="B52" t="str">
            <v>Main Panel</v>
          </cell>
        </row>
      </sheetData>
      <sheetData sheetId="3535">
        <row r="52">
          <cell r="B52" t="str">
            <v>Main Panel</v>
          </cell>
        </row>
      </sheetData>
      <sheetData sheetId="3536">
        <row r="52">
          <cell r="B52" t="str">
            <v>Main Panel</v>
          </cell>
        </row>
      </sheetData>
      <sheetData sheetId="3537">
        <row r="52">
          <cell r="B52" t="str">
            <v>Main Panel</v>
          </cell>
        </row>
      </sheetData>
      <sheetData sheetId="3538">
        <row r="52">
          <cell r="B52" t="str">
            <v>Main Panel</v>
          </cell>
        </row>
      </sheetData>
      <sheetData sheetId="3539">
        <row r="52">
          <cell r="B52" t="str">
            <v>Main Panel</v>
          </cell>
        </row>
      </sheetData>
      <sheetData sheetId="3540">
        <row r="52">
          <cell r="B52" t="str">
            <v>Main Panel</v>
          </cell>
        </row>
      </sheetData>
      <sheetData sheetId="3541">
        <row r="52">
          <cell r="B52" t="str">
            <v>Main Panel</v>
          </cell>
        </row>
      </sheetData>
      <sheetData sheetId="3542">
        <row r="52">
          <cell r="B52" t="str">
            <v>Main Panel</v>
          </cell>
        </row>
      </sheetData>
      <sheetData sheetId="3543">
        <row r="52">
          <cell r="B52" t="str">
            <v>Main Panel</v>
          </cell>
        </row>
      </sheetData>
      <sheetData sheetId="3544">
        <row r="52">
          <cell r="B52" t="str">
            <v>Main Panel</v>
          </cell>
        </row>
      </sheetData>
      <sheetData sheetId="3545">
        <row r="52">
          <cell r="B52" t="str">
            <v>Main Panel</v>
          </cell>
        </row>
      </sheetData>
      <sheetData sheetId="3546">
        <row r="52">
          <cell r="B52" t="str">
            <v>Main Panel</v>
          </cell>
        </row>
      </sheetData>
      <sheetData sheetId="3547">
        <row r="52">
          <cell r="B52" t="str">
            <v>Main Panel</v>
          </cell>
        </row>
      </sheetData>
      <sheetData sheetId="3548">
        <row r="52">
          <cell r="B52" t="str">
            <v>Main Panel</v>
          </cell>
        </row>
      </sheetData>
      <sheetData sheetId="3549">
        <row r="52">
          <cell r="B52" t="str">
            <v>Main Panel</v>
          </cell>
        </row>
      </sheetData>
      <sheetData sheetId="3550">
        <row r="52">
          <cell r="B52" t="str">
            <v>Main Panel</v>
          </cell>
        </row>
      </sheetData>
      <sheetData sheetId="3551">
        <row r="52">
          <cell r="B52" t="str">
            <v>Main Panel</v>
          </cell>
        </row>
      </sheetData>
      <sheetData sheetId="3552">
        <row r="52">
          <cell r="B52" t="str">
            <v>Main Panel</v>
          </cell>
        </row>
      </sheetData>
      <sheetData sheetId="3553">
        <row r="52">
          <cell r="B52" t="str">
            <v>Main Panel</v>
          </cell>
        </row>
      </sheetData>
      <sheetData sheetId="3554">
        <row r="52">
          <cell r="B52" t="str">
            <v>Main Panel</v>
          </cell>
        </row>
      </sheetData>
      <sheetData sheetId="3555">
        <row r="52">
          <cell r="B52" t="str">
            <v>Main Panel</v>
          </cell>
        </row>
      </sheetData>
      <sheetData sheetId="3556">
        <row r="52">
          <cell r="B52" t="str">
            <v>Main Panel</v>
          </cell>
        </row>
      </sheetData>
      <sheetData sheetId="3557">
        <row r="52">
          <cell r="B52" t="str">
            <v>Main Panel</v>
          </cell>
        </row>
      </sheetData>
      <sheetData sheetId="3558">
        <row r="52">
          <cell r="B52" t="str">
            <v>Main Panel</v>
          </cell>
        </row>
      </sheetData>
      <sheetData sheetId="3559">
        <row r="52">
          <cell r="B52" t="str">
            <v>Main Panel</v>
          </cell>
        </row>
      </sheetData>
      <sheetData sheetId="3560">
        <row r="52">
          <cell r="B52" t="str">
            <v>Main Panel</v>
          </cell>
        </row>
      </sheetData>
      <sheetData sheetId="3561">
        <row r="52">
          <cell r="B52" t="str">
            <v>Main Panel</v>
          </cell>
        </row>
      </sheetData>
      <sheetData sheetId="3562">
        <row r="52">
          <cell r="B52" t="str">
            <v>Main Panel</v>
          </cell>
        </row>
      </sheetData>
      <sheetData sheetId="3563">
        <row r="52">
          <cell r="B52" t="str">
            <v>Main Panel</v>
          </cell>
        </row>
      </sheetData>
      <sheetData sheetId="3564">
        <row r="52">
          <cell r="B52" t="str">
            <v>Main Panel</v>
          </cell>
        </row>
      </sheetData>
      <sheetData sheetId="3565">
        <row r="52">
          <cell r="B52" t="str">
            <v>Main Panel</v>
          </cell>
        </row>
      </sheetData>
      <sheetData sheetId="3566">
        <row r="52">
          <cell r="B52" t="str">
            <v>Main Panel</v>
          </cell>
        </row>
      </sheetData>
      <sheetData sheetId="3567">
        <row r="52">
          <cell r="B52" t="str">
            <v>Main Panel</v>
          </cell>
        </row>
      </sheetData>
      <sheetData sheetId="3568">
        <row r="52">
          <cell r="B52" t="str">
            <v>Main Panel</v>
          </cell>
        </row>
      </sheetData>
      <sheetData sheetId="3569" refreshError="1"/>
      <sheetData sheetId="3570" refreshError="1"/>
      <sheetData sheetId="3571" refreshError="1"/>
      <sheetData sheetId="3572" refreshError="1"/>
      <sheetData sheetId="3573">
        <row r="52">
          <cell r="B52" t="str">
            <v>Main Panel</v>
          </cell>
        </row>
      </sheetData>
      <sheetData sheetId="3574">
        <row r="52">
          <cell r="B52" t="str">
            <v>Main Panel</v>
          </cell>
        </row>
      </sheetData>
      <sheetData sheetId="3575">
        <row r="52">
          <cell r="B52" t="str">
            <v>Main Panel</v>
          </cell>
        </row>
      </sheetData>
      <sheetData sheetId="3576">
        <row r="52">
          <cell r="B52" t="str">
            <v>Main Panel</v>
          </cell>
        </row>
      </sheetData>
      <sheetData sheetId="3577">
        <row r="52">
          <cell r="B52" t="str">
            <v>Main Panel</v>
          </cell>
        </row>
      </sheetData>
      <sheetData sheetId="3578">
        <row r="52">
          <cell r="B52" t="str">
            <v>Main Panel</v>
          </cell>
        </row>
      </sheetData>
      <sheetData sheetId="3579">
        <row r="52">
          <cell r="B52" t="str">
            <v>Main Panel</v>
          </cell>
        </row>
      </sheetData>
      <sheetData sheetId="3580">
        <row r="52">
          <cell r="B52" t="str">
            <v>Main Panel</v>
          </cell>
        </row>
      </sheetData>
      <sheetData sheetId="3581">
        <row r="52">
          <cell r="B52" t="str">
            <v>Main Panel</v>
          </cell>
        </row>
      </sheetData>
      <sheetData sheetId="3582">
        <row r="52">
          <cell r="B52" t="str">
            <v>Main Panel</v>
          </cell>
        </row>
      </sheetData>
      <sheetData sheetId="3583">
        <row r="52">
          <cell r="B52" t="str">
            <v>Main Panel</v>
          </cell>
        </row>
      </sheetData>
      <sheetData sheetId="3584">
        <row r="52">
          <cell r="B52" t="str">
            <v>Main Panel</v>
          </cell>
        </row>
      </sheetData>
      <sheetData sheetId="3585">
        <row r="52">
          <cell r="B52" t="str">
            <v>Main Panel</v>
          </cell>
        </row>
      </sheetData>
      <sheetData sheetId="3586">
        <row r="52">
          <cell r="B52" t="str">
            <v>Main Panel</v>
          </cell>
        </row>
      </sheetData>
      <sheetData sheetId="3587">
        <row r="52">
          <cell r="B52" t="str">
            <v>Main Panel</v>
          </cell>
        </row>
      </sheetData>
      <sheetData sheetId="3588">
        <row r="52">
          <cell r="B52" t="str">
            <v>Main Panel</v>
          </cell>
        </row>
      </sheetData>
      <sheetData sheetId="3589">
        <row r="52">
          <cell r="B52" t="str">
            <v>Main Panel</v>
          </cell>
        </row>
      </sheetData>
      <sheetData sheetId="3590">
        <row r="52">
          <cell r="B52" t="str">
            <v>Main Panel</v>
          </cell>
        </row>
      </sheetData>
      <sheetData sheetId="3591"/>
      <sheetData sheetId="3592"/>
      <sheetData sheetId="3593"/>
      <sheetData sheetId="3594"/>
      <sheetData sheetId="3595">
        <row r="52">
          <cell r="B52" t="str">
            <v>Main Panel</v>
          </cell>
        </row>
      </sheetData>
      <sheetData sheetId="3596">
        <row r="52">
          <cell r="B52" t="str">
            <v>Main Panel</v>
          </cell>
        </row>
      </sheetData>
      <sheetData sheetId="3597">
        <row r="52">
          <cell r="B52" t="str">
            <v>Main Panel</v>
          </cell>
        </row>
      </sheetData>
      <sheetData sheetId="3598">
        <row r="52">
          <cell r="B52" t="str">
            <v>Main Panel</v>
          </cell>
        </row>
      </sheetData>
      <sheetData sheetId="3599">
        <row r="52">
          <cell r="B52" t="str">
            <v>Main Panel</v>
          </cell>
        </row>
      </sheetData>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sheetData sheetId="3610"/>
      <sheetData sheetId="3611"/>
      <sheetData sheetId="3612"/>
      <sheetData sheetId="3613"/>
      <sheetData sheetId="3614"/>
      <sheetData sheetId="3615"/>
      <sheetData sheetId="3616" refreshError="1"/>
      <sheetData sheetId="3617"/>
      <sheetData sheetId="3618"/>
      <sheetData sheetId="3619"/>
      <sheetData sheetId="3620"/>
      <sheetData sheetId="3621"/>
      <sheetData sheetId="3622">
        <row r="52">
          <cell r="B52" t="str">
            <v>Main Panel</v>
          </cell>
        </row>
      </sheetData>
      <sheetData sheetId="3623">
        <row r="52">
          <cell r="B52" t="str">
            <v>Main Panel</v>
          </cell>
        </row>
      </sheetData>
      <sheetData sheetId="3624">
        <row r="52">
          <cell r="B52" t="str">
            <v>Main Panel</v>
          </cell>
        </row>
      </sheetData>
      <sheetData sheetId="3625"/>
      <sheetData sheetId="3626">
        <row r="52">
          <cell r="B52" t="str">
            <v>Main Panel</v>
          </cell>
        </row>
      </sheetData>
      <sheetData sheetId="3627"/>
      <sheetData sheetId="3628">
        <row r="52">
          <cell r="B52" t="str">
            <v>Main Panel</v>
          </cell>
        </row>
      </sheetData>
      <sheetData sheetId="3629">
        <row r="52">
          <cell r="B52" t="str">
            <v>Main Panel</v>
          </cell>
        </row>
      </sheetData>
      <sheetData sheetId="3630">
        <row r="52">
          <cell r="B52" t="str">
            <v>Main Panel</v>
          </cell>
        </row>
      </sheetData>
      <sheetData sheetId="3631">
        <row r="52">
          <cell r="B52" t="str">
            <v>Main Panel</v>
          </cell>
        </row>
      </sheetData>
      <sheetData sheetId="3632">
        <row r="52">
          <cell r="B52" t="str">
            <v>Main Panel</v>
          </cell>
        </row>
      </sheetData>
      <sheetData sheetId="3633"/>
      <sheetData sheetId="3634">
        <row r="52">
          <cell r="B52" t="str">
            <v>Main Panel</v>
          </cell>
        </row>
      </sheetData>
      <sheetData sheetId="3635">
        <row r="52">
          <cell r="B52" t="str">
            <v>Main Panel</v>
          </cell>
        </row>
      </sheetData>
      <sheetData sheetId="3636">
        <row r="52">
          <cell r="B52" t="str">
            <v>Main Panel</v>
          </cell>
        </row>
      </sheetData>
      <sheetData sheetId="3637">
        <row r="52">
          <cell r="B52" t="str">
            <v>Main Panel</v>
          </cell>
        </row>
      </sheetData>
      <sheetData sheetId="3638">
        <row r="52">
          <cell r="B52" t="str">
            <v>Main Panel</v>
          </cell>
        </row>
      </sheetData>
      <sheetData sheetId="3639"/>
      <sheetData sheetId="3640"/>
      <sheetData sheetId="3641">
        <row r="52">
          <cell r="B52" t="str">
            <v>Main Panel</v>
          </cell>
        </row>
      </sheetData>
      <sheetData sheetId="3642"/>
      <sheetData sheetId="3643"/>
      <sheetData sheetId="3644"/>
      <sheetData sheetId="3645"/>
      <sheetData sheetId="3646">
        <row r="52">
          <cell r="B52" t="str">
            <v>Main Panel</v>
          </cell>
        </row>
      </sheetData>
      <sheetData sheetId="3647"/>
      <sheetData sheetId="3648"/>
      <sheetData sheetId="3649"/>
      <sheetData sheetId="3650"/>
      <sheetData sheetId="3651"/>
      <sheetData sheetId="3652"/>
      <sheetData sheetId="3653"/>
      <sheetData sheetId="3654">
        <row r="52">
          <cell r="B52" t="str">
            <v>Main Panel</v>
          </cell>
        </row>
      </sheetData>
      <sheetData sheetId="3655"/>
      <sheetData sheetId="3656"/>
      <sheetData sheetId="3657"/>
      <sheetData sheetId="3658" refreshError="1"/>
      <sheetData sheetId="3659"/>
      <sheetData sheetId="3660"/>
      <sheetData sheetId="3661"/>
      <sheetData sheetId="3662" refreshError="1"/>
      <sheetData sheetId="3663" refreshError="1"/>
      <sheetData sheetId="3664" refreshError="1"/>
      <sheetData sheetId="3665"/>
      <sheetData sheetId="3666"/>
      <sheetData sheetId="3667"/>
      <sheetData sheetId="3668"/>
      <sheetData sheetId="3669"/>
      <sheetData sheetId="3670">
        <row r="52">
          <cell r="B52" t="str">
            <v>Main Panel</v>
          </cell>
        </row>
      </sheetData>
      <sheetData sheetId="3671">
        <row r="52">
          <cell r="B52" t="str">
            <v>Main Panel</v>
          </cell>
        </row>
      </sheetData>
      <sheetData sheetId="3672" refreshError="1"/>
      <sheetData sheetId="3673" refreshError="1"/>
      <sheetData sheetId="3674"/>
      <sheetData sheetId="3675"/>
      <sheetData sheetId="3676"/>
      <sheetData sheetId="3677"/>
      <sheetData sheetId="3678"/>
      <sheetData sheetId="3679">
        <row r="52">
          <cell r="B52" t="str">
            <v>Main Panel</v>
          </cell>
        </row>
      </sheetData>
      <sheetData sheetId="3680">
        <row r="52">
          <cell r="B52" t="str">
            <v>Main Panel</v>
          </cell>
        </row>
      </sheetData>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row r="52">
          <cell r="B52" t="str">
            <v>Main Panel</v>
          </cell>
        </row>
      </sheetData>
      <sheetData sheetId="3696"/>
      <sheetData sheetId="3697"/>
      <sheetData sheetId="3698"/>
      <sheetData sheetId="3699"/>
      <sheetData sheetId="3700">
        <row r="52">
          <cell r="B52" t="str">
            <v>Main Panel</v>
          </cell>
        </row>
      </sheetData>
      <sheetData sheetId="3701"/>
      <sheetData sheetId="3702"/>
      <sheetData sheetId="3703"/>
      <sheetData sheetId="3704"/>
      <sheetData sheetId="3705"/>
      <sheetData sheetId="3706"/>
      <sheetData sheetId="3707"/>
      <sheetData sheetId="3708">
        <row r="52">
          <cell r="B52" t="str">
            <v>Main Panel</v>
          </cell>
        </row>
      </sheetData>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efreshError="1"/>
      <sheetData sheetId="3726" refreshError="1"/>
      <sheetData sheetId="3727" refreshError="1"/>
      <sheetData sheetId="3728" refreshError="1"/>
      <sheetData sheetId="3729" refreshError="1"/>
      <sheetData sheetId="3730" refreshError="1"/>
      <sheetData sheetId="3731">
        <row r="52">
          <cell r="B52" t="str">
            <v>Main Panel</v>
          </cell>
        </row>
      </sheetData>
      <sheetData sheetId="3732">
        <row r="52">
          <cell r="B52" t="str">
            <v>Main Panel</v>
          </cell>
        </row>
      </sheetData>
      <sheetData sheetId="3733"/>
      <sheetData sheetId="3734">
        <row r="52">
          <cell r="B52" t="str">
            <v>Main Panel</v>
          </cell>
        </row>
      </sheetData>
      <sheetData sheetId="3735">
        <row r="52">
          <cell r="B52" t="str">
            <v>Main Panel</v>
          </cell>
        </row>
      </sheetData>
      <sheetData sheetId="3736">
        <row r="52">
          <cell r="B52" t="str">
            <v>Main Panel</v>
          </cell>
        </row>
      </sheetData>
      <sheetData sheetId="3737" refreshError="1"/>
      <sheetData sheetId="3738" refreshError="1"/>
      <sheetData sheetId="3739" refreshError="1"/>
      <sheetData sheetId="3740" refreshError="1"/>
      <sheetData sheetId="3741" refreshError="1"/>
      <sheetData sheetId="3742"/>
      <sheetData sheetId="3743"/>
      <sheetData sheetId="3744"/>
      <sheetData sheetId="3745" refreshError="1"/>
      <sheetData sheetId="3746" refreshError="1"/>
      <sheetData sheetId="3747" refreshError="1"/>
      <sheetData sheetId="3748" refreshError="1"/>
      <sheetData sheetId="3749"/>
      <sheetData sheetId="3750"/>
      <sheetData sheetId="3751" refreshError="1"/>
      <sheetData sheetId="3752" refreshError="1"/>
      <sheetData sheetId="3753" refreshError="1"/>
      <sheetData sheetId="3754" refreshError="1"/>
      <sheetData sheetId="3755" refreshError="1"/>
      <sheetData sheetId="3756"/>
      <sheetData sheetId="3757">
        <row r="52">
          <cell r="B52" t="str">
            <v>Main Panel</v>
          </cell>
        </row>
      </sheetData>
      <sheetData sheetId="3758"/>
      <sheetData sheetId="3759" refreshError="1"/>
      <sheetData sheetId="3760" refreshError="1"/>
      <sheetData sheetId="3761"/>
      <sheetData sheetId="3762"/>
      <sheetData sheetId="3763"/>
      <sheetData sheetId="3764"/>
      <sheetData sheetId="3765"/>
      <sheetData sheetId="3766"/>
      <sheetData sheetId="3767"/>
      <sheetData sheetId="3768" refreshError="1"/>
      <sheetData sheetId="3769" refreshError="1"/>
      <sheetData sheetId="3770" refreshError="1"/>
      <sheetData sheetId="3771"/>
      <sheetData sheetId="3772" refreshError="1"/>
      <sheetData sheetId="3773" refreshError="1"/>
      <sheetData sheetId="3774" refreshError="1"/>
      <sheetData sheetId="3775" refreshError="1"/>
      <sheetData sheetId="3776" refreshError="1"/>
      <sheetData sheetId="3777"/>
      <sheetData sheetId="3778"/>
      <sheetData sheetId="3779">
        <row r="52">
          <cell r="B52" t="str">
            <v>Main Panel</v>
          </cell>
        </row>
      </sheetData>
      <sheetData sheetId="3780">
        <row r="52">
          <cell r="B52" t="str">
            <v>Main Panel</v>
          </cell>
        </row>
      </sheetData>
      <sheetData sheetId="3781">
        <row r="52">
          <cell r="B52" t="str">
            <v>Main Panel</v>
          </cell>
        </row>
      </sheetData>
      <sheetData sheetId="3782">
        <row r="52">
          <cell r="B52" t="str">
            <v>Main Panel</v>
          </cell>
        </row>
      </sheetData>
      <sheetData sheetId="3783">
        <row r="52">
          <cell r="B52" t="str">
            <v>Main Panel</v>
          </cell>
        </row>
      </sheetData>
      <sheetData sheetId="3784">
        <row r="52">
          <cell r="B52" t="str">
            <v>Main Panel</v>
          </cell>
        </row>
      </sheetData>
      <sheetData sheetId="3785">
        <row r="52">
          <cell r="B52" t="str">
            <v>Main Panel</v>
          </cell>
        </row>
      </sheetData>
      <sheetData sheetId="3786">
        <row r="52">
          <cell r="B52" t="str">
            <v>Main Panel</v>
          </cell>
        </row>
      </sheetData>
      <sheetData sheetId="3787">
        <row r="52">
          <cell r="B52" t="str">
            <v>Main Panel</v>
          </cell>
        </row>
      </sheetData>
      <sheetData sheetId="3788">
        <row r="52">
          <cell r="B52" t="str">
            <v>Main Panel</v>
          </cell>
        </row>
      </sheetData>
      <sheetData sheetId="3789">
        <row r="52">
          <cell r="B52" t="str">
            <v>Main Panel</v>
          </cell>
        </row>
      </sheetData>
      <sheetData sheetId="3790">
        <row r="52">
          <cell r="B52" t="str">
            <v>Main Panel</v>
          </cell>
        </row>
      </sheetData>
      <sheetData sheetId="3791">
        <row r="52">
          <cell r="B52" t="str">
            <v>Main Panel</v>
          </cell>
        </row>
      </sheetData>
      <sheetData sheetId="3792">
        <row r="52">
          <cell r="B52" t="str">
            <v>Main Panel</v>
          </cell>
        </row>
      </sheetData>
      <sheetData sheetId="3793">
        <row r="52">
          <cell r="B52" t="str">
            <v>Main Panel</v>
          </cell>
        </row>
      </sheetData>
      <sheetData sheetId="3794">
        <row r="52">
          <cell r="B52" t="str">
            <v>Main Panel</v>
          </cell>
        </row>
      </sheetData>
      <sheetData sheetId="3795">
        <row r="52">
          <cell r="B52" t="str">
            <v>Main Panel</v>
          </cell>
        </row>
      </sheetData>
      <sheetData sheetId="3796">
        <row r="52">
          <cell r="B52" t="str">
            <v>Main Panel</v>
          </cell>
        </row>
      </sheetData>
      <sheetData sheetId="3797">
        <row r="52">
          <cell r="B52" t="str">
            <v>Main Panel</v>
          </cell>
        </row>
      </sheetData>
      <sheetData sheetId="3798" refreshError="1"/>
      <sheetData sheetId="3799">
        <row r="52">
          <cell r="B52" t="str">
            <v>Main Panel</v>
          </cell>
        </row>
      </sheetData>
      <sheetData sheetId="3800">
        <row r="52">
          <cell r="B52" t="str">
            <v>Main Panel</v>
          </cell>
        </row>
      </sheetData>
      <sheetData sheetId="3801">
        <row r="52">
          <cell r="B52" t="str">
            <v>Main Panel</v>
          </cell>
        </row>
      </sheetData>
      <sheetData sheetId="3802"/>
      <sheetData sheetId="3803"/>
      <sheetData sheetId="3804"/>
      <sheetData sheetId="3805"/>
      <sheetData sheetId="3806"/>
      <sheetData sheetId="3807"/>
      <sheetData sheetId="3808"/>
      <sheetData sheetId="3809">
        <row r="52">
          <cell r="B52" t="str">
            <v>Main Panel</v>
          </cell>
        </row>
      </sheetData>
      <sheetData sheetId="3810"/>
      <sheetData sheetId="3811"/>
      <sheetData sheetId="3812"/>
      <sheetData sheetId="3813"/>
      <sheetData sheetId="3814"/>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sheetData sheetId="3824" refreshError="1"/>
      <sheetData sheetId="3825">
        <row r="52">
          <cell r="B52" t="str">
            <v>Main Panel</v>
          </cell>
        </row>
      </sheetData>
      <sheetData sheetId="3826"/>
      <sheetData sheetId="3827" refreshError="1"/>
      <sheetData sheetId="3828" refreshError="1"/>
      <sheetData sheetId="3829"/>
      <sheetData sheetId="3830" refreshError="1"/>
      <sheetData sheetId="3831">
        <row r="52">
          <cell r="B52" t="str">
            <v>Main Panel</v>
          </cell>
        </row>
      </sheetData>
      <sheetData sheetId="3832"/>
      <sheetData sheetId="3833">
        <row r="52">
          <cell r="B52" t="str">
            <v>Main Panel</v>
          </cell>
        </row>
      </sheetData>
      <sheetData sheetId="3834">
        <row r="52">
          <cell r="B52" t="str">
            <v>Main Panel</v>
          </cell>
        </row>
      </sheetData>
      <sheetData sheetId="3835">
        <row r="52">
          <cell r="B52" t="str">
            <v>Main Panel</v>
          </cell>
        </row>
      </sheetData>
      <sheetData sheetId="3836" refreshError="1"/>
      <sheetData sheetId="3837" refreshError="1"/>
      <sheetData sheetId="3838" refreshError="1"/>
      <sheetData sheetId="3839">
        <row r="52">
          <cell r="B52" t="str">
            <v>Main Panel</v>
          </cell>
        </row>
      </sheetData>
      <sheetData sheetId="3840">
        <row r="52">
          <cell r="B52" t="str">
            <v>Main Panel</v>
          </cell>
        </row>
      </sheetData>
      <sheetData sheetId="3841">
        <row r="52">
          <cell r="B52" t="str">
            <v>Main Panel</v>
          </cell>
        </row>
      </sheetData>
      <sheetData sheetId="3842">
        <row r="52">
          <cell r="B52" t="str">
            <v>Main Panel</v>
          </cell>
        </row>
      </sheetData>
      <sheetData sheetId="3843">
        <row r="52">
          <cell r="B52" t="str">
            <v>Main Panel</v>
          </cell>
        </row>
      </sheetData>
      <sheetData sheetId="3844"/>
      <sheetData sheetId="3845">
        <row r="52">
          <cell r="B52" t="str">
            <v>Main Panel</v>
          </cell>
        </row>
      </sheetData>
      <sheetData sheetId="3846"/>
      <sheetData sheetId="3847"/>
      <sheetData sheetId="3848"/>
      <sheetData sheetId="3849"/>
      <sheetData sheetId="3850" refreshError="1"/>
      <sheetData sheetId="3851" refreshError="1"/>
      <sheetData sheetId="3852"/>
      <sheetData sheetId="3853"/>
      <sheetData sheetId="3854">
        <row r="52">
          <cell r="B52" t="str">
            <v>Main Panel</v>
          </cell>
        </row>
      </sheetData>
      <sheetData sheetId="3855">
        <row r="52">
          <cell r="B52" t="str">
            <v>Main Panel</v>
          </cell>
        </row>
      </sheetData>
      <sheetData sheetId="3856">
        <row r="52">
          <cell r="B52" t="str">
            <v>Main Panel</v>
          </cell>
        </row>
      </sheetData>
      <sheetData sheetId="3857">
        <row r="52">
          <cell r="B52" t="str">
            <v>Main Panel</v>
          </cell>
        </row>
      </sheetData>
      <sheetData sheetId="3858">
        <row r="52">
          <cell r="B52" t="str">
            <v>Main Panel</v>
          </cell>
        </row>
      </sheetData>
      <sheetData sheetId="3859" refreshError="1"/>
      <sheetData sheetId="3860">
        <row r="52">
          <cell r="B52" t="str">
            <v>Main Panel</v>
          </cell>
        </row>
      </sheetData>
      <sheetData sheetId="3861" refreshError="1"/>
      <sheetData sheetId="3862" refreshError="1"/>
      <sheetData sheetId="3863" refreshError="1"/>
      <sheetData sheetId="3864" refreshError="1"/>
      <sheetData sheetId="3865" refreshError="1"/>
      <sheetData sheetId="3866" refreshError="1"/>
      <sheetData sheetId="3867" refreshError="1"/>
      <sheetData sheetId="3868">
        <row r="52">
          <cell r="B52" t="str">
            <v>Main Panel</v>
          </cell>
        </row>
      </sheetData>
      <sheetData sheetId="3869" refreshError="1"/>
      <sheetData sheetId="3870">
        <row r="52">
          <cell r="B52" t="str">
            <v>Main Panel</v>
          </cell>
        </row>
      </sheetData>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52">
          <cell r="B52" t="str">
            <v>Main Panel</v>
          </cell>
        </row>
      </sheetData>
      <sheetData sheetId="3880" refreshError="1"/>
      <sheetData sheetId="3881" refreshError="1"/>
      <sheetData sheetId="3882">
        <row r="52">
          <cell r="B52" t="str">
            <v>Main Panel</v>
          </cell>
        </row>
      </sheetData>
      <sheetData sheetId="3883">
        <row r="52">
          <cell r="B52" t="str">
            <v>Main Panel</v>
          </cell>
        </row>
      </sheetData>
      <sheetData sheetId="3884">
        <row r="52">
          <cell r="B52" t="str">
            <v>Main Panel</v>
          </cell>
        </row>
      </sheetData>
      <sheetData sheetId="3885">
        <row r="52">
          <cell r="B52" t="str">
            <v>Main Panel</v>
          </cell>
        </row>
      </sheetData>
      <sheetData sheetId="3886">
        <row r="52">
          <cell r="B52" t="str">
            <v>Main Panel</v>
          </cell>
        </row>
      </sheetData>
      <sheetData sheetId="3887">
        <row r="52">
          <cell r="B52" t="str">
            <v>Main Panel</v>
          </cell>
        </row>
      </sheetData>
      <sheetData sheetId="3888">
        <row r="52">
          <cell r="B52" t="str">
            <v>Main Panel</v>
          </cell>
        </row>
      </sheetData>
      <sheetData sheetId="3889">
        <row r="52">
          <cell r="B52" t="str">
            <v>Main Panel</v>
          </cell>
        </row>
      </sheetData>
      <sheetData sheetId="3890">
        <row r="52">
          <cell r="B52" t="str">
            <v>Main Panel</v>
          </cell>
        </row>
      </sheetData>
      <sheetData sheetId="3891">
        <row r="52">
          <cell r="B52" t="str">
            <v>Main Panel</v>
          </cell>
        </row>
      </sheetData>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ow r="52">
          <cell r="B52" t="str">
            <v>Main Panel</v>
          </cell>
        </row>
      </sheetData>
      <sheetData sheetId="3910">
        <row r="52">
          <cell r="B52" t="str">
            <v>Main Panel</v>
          </cell>
        </row>
      </sheetData>
      <sheetData sheetId="3911">
        <row r="52">
          <cell r="B52" t="str">
            <v>Main Panel</v>
          </cell>
        </row>
      </sheetData>
      <sheetData sheetId="3912">
        <row r="52">
          <cell r="B52" t="str">
            <v>Main Panel</v>
          </cell>
        </row>
      </sheetData>
      <sheetData sheetId="3913">
        <row r="52">
          <cell r="B52" t="str">
            <v>Main Panel</v>
          </cell>
        </row>
      </sheetData>
      <sheetData sheetId="3914">
        <row r="52">
          <cell r="B52" t="str">
            <v>Main Panel</v>
          </cell>
        </row>
      </sheetData>
      <sheetData sheetId="3915">
        <row r="52">
          <cell r="B52" t="str">
            <v>Main Panel</v>
          </cell>
        </row>
      </sheetData>
      <sheetData sheetId="3916">
        <row r="52">
          <cell r="B52" t="str">
            <v>Main Panel</v>
          </cell>
        </row>
      </sheetData>
      <sheetData sheetId="3917">
        <row r="52">
          <cell r="B52" t="str">
            <v>Main Panel</v>
          </cell>
        </row>
      </sheetData>
      <sheetData sheetId="3918">
        <row r="52">
          <cell r="B52" t="str">
            <v>Main Panel</v>
          </cell>
        </row>
      </sheetData>
      <sheetData sheetId="3919">
        <row r="52">
          <cell r="B52" t="str">
            <v>Main Panel</v>
          </cell>
        </row>
      </sheetData>
      <sheetData sheetId="3920">
        <row r="52">
          <cell r="B52" t="str">
            <v>Main Panel</v>
          </cell>
        </row>
      </sheetData>
      <sheetData sheetId="3921">
        <row r="52">
          <cell r="B52" t="str">
            <v>Main Panel</v>
          </cell>
        </row>
      </sheetData>
      <sheetData sheetId="3922">
        <row r="52">
          <cell r="B52" t="str">
            <v>Main Panel</v>
          </cell>
        </row>
      </sheetData>
      <sheetData sheetId="3923">
        <row r="52">
          <cell r="B52" t="str">
            <v>Main Panel</v>
          </cell>
        </row>
      </sheetData>
      <sheetData sheetId="3924">
        <row r="52">
          <cell r="B52" t="str">
            <v>Main Panel</v>
          </cell>
        </row>
      </sheetData>
      <sheetData sheetId="3925">
        <row r="52">
          <cell r="B52" t="str">
            <v>Main Panel</v>
          </cell>
        </row>
      </sheetData>
      <sheetData sheetId="3926">
        <row r="52">
          <cell r="B52" t="str">
            <v>Main Panel</v>
          </cell>
        </row>
      </sheetData>
      <sheetData sheetId="3927">
        <row r="52">
          <cell r="B52" t="str">
            <v>Main Panel</v>
          </cell>
        </row>
      </sheetData>
      <sheetData sheetId="3928">
        <row r="52">
          <cell r="B52" t="str">
            <v>Main Panel</v>
          </cell>
        </row>
      </sheetData>
      <sheetData sheetId="3929">
        <row r="52">
          <cell r="B52" t="str">
            <v>Main Panel</v>
          </cell>
        </row>
      </sheetData>
      <sheetData sheetId="3930">
        <row r="52">
          <cell r="B52" t="str">
            <v>Main Panel</v>
          </cell>
        </row>
      </sheetData>
      <sheetData sheetId="3931">
        <row r="52">
          <cell r="B52" t="str">
            <v>Main Panel</v>
          </cell>
        </row>
      </sheetData>
      <sheetData sheetId="3932">
        <row r="52">
          <cell r="B52" t="str">
            <v>Main Panel</v>
          </cell>
        </row>
      </sheetData>
      <sheetData sheetId="3933">
        <row r="52">
          <cell r="B52" t="str">
            <v>Main Panel</v>
          </cell>
        </row>
      </sheetData>
      <sheetData sheetId="3934">
        <row r="52">
          <cell r="B52" t="str">
            <v>Main Panel</v>
          </cell>
        </row>
      </sheetData>
      <sheetData sheetId="3935">
        <row r="52">
          <cell r="B52" t="str">
            <v>Main Panel</v>
          </cell>
        </row>
      </sheetData>
      <sheetData sheetId="3936">
        <row r="52">
          <cell r="B52" t="str">
            <v>Main Panel</v>
          </cell>
        </row>
      </sheetData>
      <sheetData sheetId="3937">
        <row r="52">
          <cell r="B52" t="str">
            <v>Main Panel</v>
          </cell>
        </row>
      </sheetData>
      <sheetData sheetId="3938">
        <row r="52">
          <cell r="B52" t="str">
            <v>Main Panel</v>
          </cell>
        </row>
      </sheetData>
      <sheetData sheetId="3939">
        <row r="52">
          <cell r="B52" t="str">
            <v>Main Panel</v>
          </cell>
        </row>
      </sheetData>
      <sheetData sheetId="3940">
        <row r="52">
          <cell r="B52" t="str">
            <v>Main Panel</v>
          </cell>
        </row>
      </sheetData>
      <sheetData sheetId="3941">
        <row r="52">
          <cell r="B52" t="str">
            <v>Main Panel</v>
          </cell>
        </row>
      </sheetData>
      <sheetData sheetId="3942">
        <row r="52">
          <cell r="B52" t="str">
            <v>Main Panel</v>
          </cell>
        </row>
      </sheetData>
      <sheetData sheetId="3943">
        <row r="52">
          <cell r="B52" t="str">
            <v>Main Panel</v>
          </cell>
        </row>
      </sheetData>
      <sheetData sheetId="3944">
        <row r="52">
          <cell r="B52" t="str">
            <v>Main Panel</v>
          </cell>
        </row>
      </sheetData>
      <sheetData sheetId="3945">
        <row r="52">
          <cell r="B52" t="str">
            <v>Main Panel</v>
          </cell>
        </row>
      </sheetData>
      <sheetData sheetId="3946">
        <row r="52">
          <cell r="B52" t="str">
            <v>Main Panel</v>
          </cell>
        </row>
      </sheetData>
      <sheetData sheetId="3947">
        <row r="52">
          <cell r="B52" t="str">
            <v>Main Panel</v>
          </cell>
        </row>
      </sheetData>
      <sheetData sheetId="3948">
        <row r="52">
          <cell r="B52" t="str">
            <v>Main Panel</v>
          </cell>
        </row>
      </sheetData>
      <sheetData sheetId="3949">
        <row r="52">
          <cell r="B52" t="str">
            <v>Main Panel</v>
          </cell>
        </row>
      </sheetData>
      <sheetData sheetId="3950">
        <row r="52">
          <cell r="B52" t="str">
            <v>Main Panel</v>
          </cell>
        </row>
      </sheetData>
      <sheetData sheetId="3951">
        <row r="52">
          <cell r="B52" t="str">
            <v>Main Panel</v>
          </cell>
        </row>
      </sheetData>
      <sheetData sheetId="3952">
        <row r="52">
          <cell r="B52" t="str">
            <v>Main Panel</v>
          </cell>
        </row>
      </sheetData>
      <sheetData sheetId="3953">
        <row r="52">
          <cell r="B52" t="str">
            <v>Main Panel</v>
          </cell>
        </row>
      </sheetData>
      <sheetData sheetId="3954">
        <row r="52">
          <cell r="B52" t="str">
            <v>Main Panel</v>
          </cell>
        </row>
      </sheetData>
      <sheetData sheetId="3955">
        <row r="52">
          <cell r="B52" t="str">
            <v>Main Panel</v>
          </cell>
        </row>
      </sheetData>
      <sheetData sheetId="3956">
        <row r="52">
          <cell r="B52" t="str">
            <v>Main Panel</v>
          </cell>
        </row>
      </sheetData>
      <sheetData sheetId="3957">
        <row r="52">
          <cell r="B52" t="str">
            <v>Main Panel</v>
          </cell>
        </row>
      </sheetData>
      <sheetData sheetId="3958">
        <row r="52">
          <cell r="B52" t="str">
            <v>Main Panel</v>
          </cell>
        </row>
      </sheetData>
      <sheetData sheetId="3959">
        <row r="52">
          <cell r="B52" t="str">
            <v>Main Panel</v>
          </cell>
        </row>
      </sheetData>
      <sheetData sheetId="3960">
        <row r="52">
          <cell r="B52" t="str">
            <v>Main Panel</v>
          </cell>
        </row>
      </sheetData>
      <sheetData sheetId="3961">
        <row r="52">
          <cell r="B52" t="str">
            <v>Main Panel</v>
          </cell>
        </row>
      </sheetData>
      <sheetData sheetId="3962">
        <row r="52">
          <cell r="B52" t="str">
            <v>Main Panel</v>
          </cell>
        </row>
      </sheetData>
      <sheetData sheetId="3963">
        <row r="52">
          <cell r="B52" t="str">
            <v>Main Panel</v>
          </cell>
        </row>
      </sheetData>
      <sheetData sheetId="3964">
        <row r="52">
          <cell r="B52" t="str">
            <v>Main Panel</v>
          </cell>
        </row>
      </sheetData>
      <sheetData sheetId="3965">
        <row r="52">
          <cell r="B52" t="str">
            <v>Main Panel</v>
          </cell>
        </row>
      </sheetData>
      <sheetData sheetId="3966">
        <row r="52">
          <cell r="B52" t="str">
            <v>Main Panel</v>
          </cell>
        </row>
      </sheetData>
      <sheetData sheetId="3967">
        <row r="52">
          <cell r="B52" t="str">
            <v>Main Panel</v>
          </cell>
        </row>
      </sheetData>
      <sheetData sheetId="3968">
        <row r="52">
          <cell r="B52" t="str">
            <v>Main Panel</v>
          </cell>
        </row>
      </sheetData>
      <sheetData sheetId="3969">
        <row r="52">
          <cell r="B52" t="str">
            <v>Main Panel</v>
          </cell>
        </row>
      </sheetData>
      <sheetData sheetId="3970">
        <row r="52">
          <cell r="B52" t="str">
            <v>Main Panel</v>
          </cell>
        </row>
      </sheetData>
      <sheetData sheetId="3971">
        <row r="52">
          <cell r="B52" t="str">
            <v>Main Panel</v>
          </cell>
        </row>
      </sheetData>
      <sheetData sheetId="3972">
        <row r="52">
          <cell r="B52" t="str">
            <v>Main Panel</v>
          </cell>
        </row>
      </sheetData>
      <sheetData sheetId="3973">
        <row r="52">
          <cell r="B52" t="str">
            <v>Main Panel</v>
          </cell>
        </row>
      </sheetData>
      <sheetData sheetId="3974">
        <row r="52">
          <cell r="B52" t="str">
            <v>Main Panel</v>
          </cell>
        </row>
      </sheetData>
      <sheetData sheetId="3975">
        <row r="52">
          <cell r="B52" t="str">
            <v>Main Panel</v>
          </cell>
        </row>
      </sheetData>
      <sheetData sheetId="3976">
        <row r="52">
          <cell r="B52" t="str">
            <v>Main Panel</v>
          </cell>
        </row>
      </sheetData>
      <sheetData sheetId="3977">
        <row r="52">
          <cell r="B52" t="str">
            <v>Main Panel</v>
          </cell>
        </row>
      </sheetData>
      <sheetData sheetId="3978">
        <row r="52">
          <cell r="B52" t="str">
            <v>Main Panel</v>
          </cell>
        </row>
      </sheetData>
      <sheetData sheetId="3979">
        <row r="52">
          <cell r="B52" t="str">
            <v>Main Panel</v>
          </cell>
        </row>
      </sheetData>
      <sheetData sheetId="3980">
        <row r="52">
          <cell r="B52" t="str">
            <v>Main Panel</v>
          </cell>
        </row>
      </sheetData>
      <sheetData sheetId="3981">
        <row r="52">
          <cell r="B52" t="str">
            <v>Main Panel</v>
          </cell>
        </row>
      </sheetData>
      <sheetData sheetId="3982">
        <row r="52">
          <cell r="B52" t="str">
            <v>Main Panel</v>
          </cell>
        </row>
      </sheetData>
      <sheetData sheetId="3983">
        <row r="52">
          <cell r="B52" t="str">
            <v>Main Panel</v>
          </cell>
        </row>
      </sheetData>
      <sheetData sheetId="3984">
        <row r="52">
          <cell r="B52" t="str">
            <v>Main Panel</v>
          </cell>
        </row>
      </sheetData>
      <sheetData sheetId="3985">
        <row r="52">
          <cell r="B52" t="str">
            <v>Main Panel</v>
          </cell>
        </row>
      </sheetData>
      <sheetData sheetId="3986">
        <row r="52">
          <cell r="B52" t="str">
            <v>Main Panel</v>
          </cell>
        </row>
      </sheetData>
      <sheetData sheetId="3987">
        <row r="52">
          <cell r="B52" t="str">
            <v>Main Panel</v>
          </cell>
        </row>
      </sheetData>
      <sheetData sheetId="3988">
        <row r="52">
          <cell r="B52" t="str">
            <v>Main Panel</v>
          </cell>
        </row>
      </sheetData>
      <sheetData sheetId="3989">
        <row r="52">
          <cell r="B52" t="str">
            <v>Main Panel</v>
          </cell>
        </row>
      </sheetData>
      <sheetData sheetId="3990">
        <row r="52">
          <cell r="B52" t="str">
            <v>Main Panel</v>
          </cell>
        </row>
      </sheetData>
      <sheetData sheetId="3991">
        <row r="52">
          <cell r="B52" t="str">
            <v>Main Panel</v>
          </cell>
        </row>
      </sheetData>
      <sheetData sheetId="3992">
        <row r="52">
          <cell r="B52" t="str">
            <v>Main Panel</v>
          </cell>
        </row>
      </sheetData>
      <sheetData sheetId="3993">
        <row r="52">
          <cell r="B52" t="str">
            <v>Main Panel</v>
          </cell>
        </row>
      </sheetData>
      <sheetData sheetId="3994">
        <row r="52">
          <cell r="B52" t="str">
            <v>Main Panel</v>
          </cell>
        </row>
      </sheetData>
      <sheetData sheetId="3995">
        <row r="52">
          <cell r="B52" t="str">
            <v>Main Panel</v>
          </cell>
        </row>
      </sheetData>
      <sheetData sheetId="3996">
        <row r="52">
          <cell r="B52" t="str">
            <v>Main Panel</v>
          </cell>
        </row>
      </sheetData>
      <sheetData sheetId="3997">
        <row r="52">
          <cell r="B52" t="str">
            <v>Main Panel</v>
          </cell>
        </row>
      </sheetData>
      <sheetData sheetId="3998">
        <row r="52">
          <cell r="B52" t="str">
            <v>Main Panel</v>
          </cell>
        </row>
      </sheetData>
      <sheetData sheetId="3999">
        <row r="52">
          <cell r="B52" t="str">
            <v>Main Panel</v>
          </cell>
        </row>
      </sheetData>
      <sheetData sheetId="4000">
        <row r="52">
          <cell r="B52" t="str">
            <v>Main Panel</v>
          </cell>
        </row>
      </sheetData>
      <sheetData sheetId="4001">
        <row r="52">
          <cell r="B52" t="str">
            <v>Main Panel</v>
          </cell>
        </row>
      </sheetData>
      <sheetData sheetId="4002">
        <row r="52">
          <cell r="B52" t="str">
            <v>Main Panel</v>
          </cell>
        </row>
      </sheetData>
      <sheetData sheetId="4003">
        <row r="52">
          <cell r="B52" t="str">
            <v>Main Panel</v>
          </cell>
        </row>
      </sheetData>
      <sheetData sheetId="4004">
        <row r="52">
          <cell r="B52" t="str">
            <v>Main Panel</v>
          </cell>
        </row>
      </sheetData>
      <sheetData sheetId="4005">
        <row r="52">
          <cell r="B52" t="str">
            <v>Main Panel</v>
          </cell>
        </row>
      </sheetData>
      <sheetData sheetId="4006">
        <row r="52">
          <cell r="B52" t="str">
            <v>Main Panel</v>
          </cell>
        </row>
      </sheetData>
      <sheetData sheetId="4007">
        <row r="52">
          <cell r="B52" t="str">
            <v>Main Panel</v>
          </cell>
        </row>
      </sheetData>
      <sheetData sheetId="4008">
        <row r="52">
          <cell r="B52" t="str">
            <v>Main Panel</v>
          </cell>
        </row>
      </sheetData>
      <sheetData sheetId="4009">
        <row r="52">
          <cell r="B52" t="str">
            <v>Main Panel</v>
          </cell>
        </row>
      </sheetData>
      <sheetData sheetId="4010">
        <row r="52">
          <cell r="B52" t="str">
            <v>Main Panel</v>
          </cell>
        </row>
      </sheetData>
      <sheetData sheetId="4011">
        <row r="52">
          <cell r="B52" t="str">
            <v>Main Panel</v>
          </cell>
        </row>
      </sheetData>
      <sheetData sheetId="4012">
        <row r="52">
          <cell r="B52" t="str">
            <v>Main Panel</v>
          </cell>
        </row>
      </sheetData>
      <sheetData sheetId="4013">
        <row r="52">
          <cell r="B52" t="str">
            <v>Main Panel</v>
          </cell>
        </row>
      </sheetData>
      <sheetData sheetId="4014">
        <row r="52">
          <cell r="B52" t="str">
            <v>Main Panel</v>
          </cell>
        </row>
      </sheetData>
      <sheetData sheetId="4015">
        <row r="52">
          <cell r="B52" t="str">
            <v>Main Panel</v>
          </cell>
        </row>
      </sheetData>
      <sheetData sheetId="4016">
        <row r="52">
          <cell r="B52" t="str">
            <v>Main Panel</v>
          </cell>
        </row>
      </sheetData>
      <sheetData sheetId="4017">
        <row r="52">
          <cell r="B52" t="str">
            <v>Main Panel</v>
          </cell>
        </row>
      </sheetData>
      <sheetData sheetId="4018">
        <row r="52">
          <cell r="B52" t="str">
            <v>Main Panel</v>
          </cell>
        </row>
      </sheetData>
      <sheetData sheetId="4019">
        <row r="52">
          <cell r="B52" t="str">
            <v>Main Panel</v>
          </cell>
        </row>
      </sheetData>
      <sheetData sheetId="4020">
        <row r="52">
          <cell r="B52" t="str">
            <v>Main Panel</v>
          </cell>
        </row>
      </sheetData>
      <sheetData sheetId="4021">
        <row r="52">
          <cell r="B52" t="str">
            <v>Main Panel</v>
          </cell>
        </row>
      </sheetData>
      <sheetData sheetId="4022">
        <row r="52">
          <cell r="B52" t="str">
            <v>Main Panel</v>
          </cell>
        </row>
      </sheetData>
      <sheetData sheetId="4023">
        <row r="52">
          <cell r="B52" t="str">
            <v>Main Panel</v>
          </cell>
        </row>
      </sheetData>
      <sheetData sheetId="4024">
        <row r="52">
          <cell r="B52" t="str">
            <v>Main Panel</v>
          </cell>
        </row>
      </sheetData>
      <sheetData sheetId="4025">
        <row r="52">
          <cell r="B52" t="str">
            <v>Main Panel</v>
          </cell>
        </row>
      </sheetData>
      <sheetData sheetId="4026">
        <row r="52">
          <cell r="B52" t="str">
            <v>Main Panel</v>
          </cell>
        </row>
      </sheetData>
      <sheetData sheetId="4027">
        <row r="52">
          <cell r="B52" t="str">
            <v>Main Panel</v>
          </cell>
        </row>
      </sheetData>
      <sheetData sheetId="4028">
        <row r="52">
          <cell r="B52" t="str">
            <v>Main Panel</v>
          </cell>
        </row>
      </sheetData>
      <sheetData sheetId="4029">
        <row r="52">
          <cell r="B52" t="str">
            <v>Main Panel</v>
          </cell>
        </row>
      </sheetData>
      <sheetData sheetId="4030">
        <row r="52">
          <cell r="B52" t="str">
            <v>Main Panel</v>
          </cell>
        </row>
      </sheetData>
      <sheetData sheetId="4031">
        <row r="52">
          <cell r="B52" t="str">
            <v>Main Panel</v>
          </cell>
        </row>
      </sheetData>
      <sheetData sheetId="4032">
        <row r="52">
          <cell r="B52" t="str">
            <v>Main Panel</v>
          </cell>
        </row>
      </sheetData>
      <sheetData sheetId="4033">
        <row r="52">
          <cell r="B52" t="str">
            <v>Main Panel</v>
          </cell>
        </row>
      </sheetData>
      <sheetData sheetId="4034">
        <row r="52">
          <cell r="B52" t="str">
            <v>Main Panel</v>
          </cell>
        </row>
      </sheetData>
      <sheetData sheetId="4035">
        <row r="52">
          <cell r="B52" t="str">
            <v>Main Panel</v>
          </cell>
        </row>
      </sheetData>
      <sheetData sheetId="4036">
        <row r="52">
          <cell r="B52" t="str">
            <v>Main Panel</v>
          </cell>
        </row>
      </sheetData>
      <sheetData sheetId="4037">
        <row r="52">
          <cell r="B52" t="str">
            <v>Main Panel</v>
          </cell>
        </row>
      </sheetData>
      <sheetData sheetId="4038">
        <row r="52">
          <cell r="B52" t="str">
            <v>Main Panel</v>
          </cell>
        </row>
      </sheetData>
      <sheetData sheetId="4039">
        <row r="52">
          <cell r="B52" t="str">
            <v>Main Panel</v>
          </cell>
        </row>
      </sheetData>
      <sheetData sheetId="4040">
        <row r="52">
          <cell r="B52" t="str">
            <v>Main Panel</v>
          </cell>
        </row>
      </sheetData>
      <sheetData sheetId="4041">
        <row r="52">
          <cell r="B52" t="str">
            <v>Main Panel</v>
          </cell>
        </row>
      </sheetData>
      <sheetData sheetId="4042">
        <row r="52">
          <cell r="B52" t="str">
            <v>Main Panel</v>
          </cell>
        </row>
      </sheetData>
      <sheetData sheetId="4043">
        <row r="52">
          <cell r="B52" t="str">
            <v>Main Panel</v>
          </cell>
        </row>
      </sheetData>
      <sheetData sheetId="4044">
        <row r="52">
          <cell r="B52" t="str">
            <v>Main Panel</v>
          </cell>
        </row>
      </sheetData>
      <sheetData sheetId="4045">
        <row r="52">
          <cell r="B52" t="str">
            <v>Main Panel</v>
          </cell>
        </row>
      </sheetData>
      <sheetData sheetId="4046">
        <row r="52">
          <cell r="B52" t="str">
            <v>Main Panel</v>
          </cell>
        </row>
      </sheetData>
      <sheetData sheetId="4047">
        <row r="52">
          <cell r="B52" t="str">
            <v>Main Panel</v>
          </cell>
        </row>
      </sheetData>
      <sheetData sheetId="4048">
        <row r="52">
          <cell r="B52" t="str">
            <v>Main Panel</v>
          </cell>
        </row>
      </sheetData>
      <sheetData sheetId="4049">
        <row r="52">
          <cell r="B52" t="str">
            <v>Main Panel</v>
          </cell>
        </row>
      </sheetData>
      <sheetData sheetId="4050">
        <row r="52">
          <cell r="B52" t="str">
            <v>Main Panel</v>
          </cell>
        </row>
      </sheetData>
      <sheetData sheetId="4051">
        <row r="52">
          <cell r="B52" t="str">
            <v>Main Panel</v>
          </cell>
        </row>
      </sheetData>
      <sheetData sheetId="4052">
        <row r="52">
          <cell r="B52" t="str">
            <v>Main Panel</v>
          </cell>
        </row>
      </sheetData>
      <sheetData sheetId="4053">
        <row r="52">
          <cell r="B52" t="str">
            <v>Main Panel</v>
          </cell>
        </row>
      </sheetData>
      <sheetData sheetId="4054">
        <row r="52">
          <cell r="B52" t="str">
            <v>Main Panel</v>
          </cell>
        </row>
      </sheetData>
      <sheetData sheetId="4055">
        <row r="52">
          <cell r="B52" t="str">
            <v>Main Panel</v>
          </cell>
        </row>
      </sheetData>
      <sheetData sheetId="4056">
        <row r="52">
          <cell r="B52" t="str">
            <v>Main Panel</v>
          </cell>
        </row>
      </sheetData>
      <sheetData sheetId="4057">
        <row r="52">
          <cell r="B52" t="str">
            <v>Main Panel</v>
          </cell>
        </row>
      </sheetData>
      <sheetData sheetId="4058">
        <row r="52">
          <cell r="B52" t="str">
            <v>Main Panel</v>
          </cell>
        </row>
      </sheetData>
      <sheetData sheetId="4059">
        <row r="52">
          <cell r="B52" t="str">
            <v>Main Panel</v>
          </cell>
        </row>
      </sheetData>
      <sheetData sheetId="4060">
        <row r="52">
          <cell r="B52" t="str">
            <v>Main Panel</v>
          </cell>
        </row>
      </sheetData>
      <sheetData sheetId="4061">
        <row r="52">
          <cell r="B52" t="str">
            <v>Main Panel</v>
          </cell>
        </row>
      </sheetData>
      <sheetData sheetId="4062">
        <row r="52">
          <cell r="B52" t="str">
            <v>Main Panel</v>
          </cell>
        </row>
      </sheetData>
      <sheetData sheetId="4063">
        <row r="52">
          <cell r="B52" t="str">
            <v>Main Panel</v>
          </cell>
        </row>
      </sheetData>
      <sheetData sheetId="4064">
        <row r="52">
          <cell r="B52" t="str">
            <v>Main Panel</v>
          </cell>
        </row>
      </sheetData>
      <sheetData sheetId="4065">
        <row r="52">
          <cell r="B52" t="str">
            <v>Main Panel</v>
          </cell>
        </row>
      </sheetData>
      <sheetData sheetId="4066">
        <row r="52">
          <cell r="B52" t="str">
            <v>Main Panel</v>
          </cell>
        </row>
      </sheetData>
      <sheetData sheetId="4067">
        <row r="52">
          <cell r="B52" t="str">
            <v>Main Panel</v>
          </cell>
        </row>
      </sheetData>
      <sheetData sheetId="4068">
        <row r="52">
          <cell r="B52" t="str">
            <v>Main Panel</v>
          </cell>
        </row>
      </sheetData>
      <sheetData sheetId="4069">
        <row r="52">
          <cell r="B52" t="str">
            <v>Main Panel</v>
          </cell>
        </row>
      </sheetData>
      <sheetData sheetId="4070">
        <row r="52">
          <cell r="B52" t="str">
            <v>Main Panel</v>
          </cell>
        </row>
      </sheetData>
      <sheetData sheetId="4071">
        <row r="52">
          <cell r="B52" t="str">
            <v>Main Panel</v>
          </cell>
        </row>
      </sheetData>
      <sheetData sheetId="4072">
        <row r="52">
          <cell r="B52" t="str">
            <v>Main Panel</v>
          </cell>
        </row>
      </sheetData>
      <sheetData sheetId="4073">
        <row r="52">
          <cell r="B52" t="str">
            <v>Main Panel</v>
          </cell>
        </row>
      </sheetData>
      <sheetData sheetId="4074">
        <row r="52">
          <cell r="B52" t="str">
            <v>Main Panel</v>
          </cell>
        </row>
      </sheetData>
      <sheetData sheetId="4075">
        <row r="52">
          <cell r="B52" t="str">
            <v>Main Panel</v>
          </cell>
        </row>
      </sheetData>
      <sheetData sheetId="4076">
        <row r="52">
          <cell r="B52" t="str">
            <v>Main Panel</v>
          </cell>
        </row>
      </sheetData>
      <sheetData sheetId="4077">
        <row r="52">
          <cell r="B52" t="str">
            <v>Main Panel</v>
          </cell>
        </row>
      </sheetData>
      <sheetData sheetId="4078">
        <row r="52">
          <cell r="B52" t="str">
            <v>Main Panel</v>
          </cell>
        </row>
      </sheetData>
      <sheetData sheetId="4079">
        <row r="52">
          <cell r="B52" t="str">
            <v>Main Panel</v>
          </cell>
        </row>
      </sheetData>
      <sheetData sheetId="4080">
        <row r="52">
          <cell r="B52" t="str">
            <v>Main Panel</v>
          </cell>
        </row>
      </sheetData>
      <sheetData sheetId="4081">
        <row r="52">
          <cell r="B52" t="str">
            <v>Main Panel</v>
          </cell>
        </row>
      </sheetData>
      <sheetData sheetId="4082">
        <row r="52">
          <cell r="B52" t="str">
            <v>Main Panel</v>
          </cell>
        </row>
      </sheetData>
      <sheetData sheetId="4083">
        <row r="52">
          <cell r="B52" t="str">
            <v>Main Panel</v>
          </cell>
        </row>
      </sheetData>
      <sheetData sheetId="4084">
        <row r="52">
          <cell r="B52" t="str">
            <v>Main Panel</v>
          </cell>
        </row>
      </sheetData>
      <sheetData sheetId="4085">
        <row r="52">
          <cell r="B52" t="str">
            <v>Main Panel</v>
          </cell>
        </row>
      </sheetData>
      <sheetData sheetId="4086">
        <row r="52">
          <cell r="B52" t="str">
            <v>Main Panel</v>
          </cell>
        </row>
      </sheetData>
      <sheetData sheetId="4087">
        <row r="52">
          <cell r="B52" t="str">
            <v>Main Panel</v>
          </cell>
        </row>
      </sheetData>
      <sheetData sheetId="4088">
        <row r="52">
          <cell r="B52" t="str">
            <v>Main Panel</v>
          </cell>
        </row>
      </sheetData>
      <sheetData sheetId="4089">
        <row r="52">
          <cell r="B52" t="str">
            <v>Main Panel</v>
          </cell>
        </row>
      </sheetData>
      <sheetData sheetId="4090">
        <row r="52">
          <cell r="B52" t="str">
            <v>Main Panel</v>
          </cell>
        </row>
      </sheetData>
      <sheetData sheetId="4091">
        <row r="52">
          <cell r="B52" t="str">
            <v>Main Panel</v>
          </cell>
        </row>
      </sheetData>
      <sheetData sheetId="4092">
        <row r="52">
          <cell r="B52" t="str">
            <v>Main Panel</v>
          </cell>
        </row>
      </sheetData>
      <sheetData sheetId="4093">
        <row r="52">
          <cell r="B52" t="str">
            <v>Main Panel</v>
          </cell>
        </row>
      </sheetData>
      <sheetData sheetId="4094">
        <row r="52">
          <cell r="B52" t="str">
            <v>Main Panel</v>
          </cell>
        </row>
      </sheetData>
      <sheetData sheetId="4095">
        <row r="52">
          <cell r="B52" t="str">
            <v>Main Panel</v>
          </cell>
        </row>
      </sheetData>
      <sheetData sheetId="4096">
        <row r="52">
          <cell r="B52" t="str">
            <v>Main Panel</v>
          </cell>
        </row>
      </sheetData>
      <sheetData sheetId="4097">
        <row r="52">
          <cell r="B52" t="str">
            <v>Main Panel</v>
          </cell>
        </row>
      </sheetData>
      <sheetData sheetId="4098">
        <row r="52">
          <cell r="B52" t="str">
            <v>Main Panel</v>
          </cell>
        </row>
      </sheetData>
      <sheetData sheetId="4099">
        <row r="52">
          <cell r="B52" t="str">
            <v>Main Panel</v>
          </cell>
        </row>
      </sheetData>
      <sheetData sheetId="4100">
        <row r="52">
          <cell r="B52" t="str">
            <v>Main Panel</v>
          </cell>
        </row>
      </sheetData>
      <sheetData sheetId="4101">
        <row r="52">
          <cell r="B52" t="str">
            <v>Main Panel</v>
          </cell>
        </row>
      </sheetData>
      <sheetData sheetId="4102">
        <row r="52">
          <cell r="B52" t="str">
            <v>Main Panel</v>
          </cell>
        </row>
      </sheetData>
      <sheetData sheetId="4103">
        <row r="52">
          <cell r="B52" t="str">
            <v>Main Panel</v>
          </cell>
        </row>
      </sheetData>
      <sheetData sheetId="4104">
        <row r="52">
          <cell r="B52" t="str">
            <v>Main Panel</v>
          </cell>
        </row>
      </sheetData>
      <sheetData sheetId="4105">
        <row r="52">
          <cell r="B52" t="str">
            <v>Main Panel</v>
          </cell>
        </row>
      </sheetData>
      <sheetData sheetId="4106">
        <row r="52">
          <cell r="B52" t="str">
            <v>Main Panel</v>
          </cell>
        </row>
      </sheetData>
      <sheetData sheetId="4107">
        <row r="52">
          <cell r="B52" t="str">
            <v>Main Panel</v>
          </cell>
        </row>
      </sheetData>
      <sheetData sheetId="4108">
        <row r="52">
          <cell r="B52" t="str">
            <v>Main Panel</v>
          </cell>
        </row>
      </sheetData>
      <sheetData sheetId="4109">
        <row r="52">
          <cell r="B52" t="str">
            <v>Main Panel</v>
          </cell>
        </row>
      </sheetData>
      <sheetData sheetId="4110">
        <row r="52">
          <cell r="B52" t="str">
            <v>Main Panel</v>
          </cell>
        </row>
      </sheetData>
      <sheetData sheetId="4111">
        <row r="52">
          <cell r="B52" t="str">
            <v>Main Panel</v>
          </cell>
        </row>
      </sheetData>
      <sheetData sheetId="4112">
        <row r="52">
          <cell r="B52" t="str">
            <v>Main Panel</v>
          </cell>
        </row>
      </sheetData>
      <sheetData sheetId="4113">
        <row r="52">
          <cell r="B52" t="str">
            <v>Main Panel</v>
          </cell>
        </row>
      </sheetData>
      <sheetData sheetId="4114">
        <row r="52">
          <cell r="B52" t="str">
            <v>Main Panel</v>
          </cell>
        </row>
      </sheetData>
      <sheetData sheetId="4115">
        <row r="52">
          <cell r="B52" t="str">
            <v>Main Panel</v>
          </cell>
        </row>
      </sheetData>
      <sheetData sheetId="4116">
        <row r="52">
          <cell r="B52" t="str">
            <v>Main Panel</v>
          </cell>
        </row>
      </sheetData>
      <sheetData sheetId="4117"/>
      <sheetData sheetId="4118">
        <row r="52">
          <cell r="B52" t="str">
            <v>Main Panel</v>
          </cell>
        </row>
      </sheetData>
      <sheetData sheetId="4119">
        <row r="52">
          <cell r="B52" t="str">
            <v>Main Panel</v>
          </cell>
        </row>
      </sheetData>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row r="52">
          <cell r="B52" t="str">
            <v>Main Panel</v>
          </cell>
        </row>
      </sheetData>
      <sheetData sheetId="4133">
        <row r="52">
          <cell r="B52" t="str">
            <v>Main Panel</v>
          </cell>
        </row>
      </sheetData>
      <sheetData sheetId="4134">
        <row r="52">
          <cell r="B52" t="str">
            <v>Main Panel</v>
          </cell>
        </row>
      </sheetData>
      <sheetData sheetId="4135">
        <row r="52">
          <cell r="B52" t="str">
            <v>Main Panel</v>
          </cell>
        </row>
      </sheetData>
      <sheetData sheetId="4136">
        <row r="52">
          <cell r="B52" t="str">
            <v>Main Panel</v>
          </cell>
        </row>
      </sheetData>
      <sheetData sheetId="4137">
        <row r="52">
          <cell r="B52" t="str">
            <v>Main Panel</v>
          </cell>
        </row>
      </sheetData>
      <sheetData sheetId="4138">
        <row r="52">
          <cell r="B52" t="str">
            <v>Main Panel</v>
          </cell>
        </row>
      </sheetData>
      <sheetData sheetId="4139">
        <row r="52">
          <cell r="B52" t="str">
            <v>Main Panel</v>
          </cell>
        </row>
      </sheetData>
      <sheetData sheetId="4140">
        <row r="52">
          <cell r="B52" t="str">
            <v>Main Panel</v>
          </cell>
        </row>
      </sheetData>
      <sheetData sheetId="4141">
        <row r="52">
          <cell r="B52" t="str">
            <v>Main Panel</v>
          </cell>
        </row>
      </sheetData>
      <sheetData sheetId="4142">
        <row r="52">
          <cell r="B52" t="str">
            <v>Main Panel</v>
          </cell>
        </row>
      </sheetData>
      <sheetData sheetId="4143">
        <row r="52">
          <cell r="B52" t="str">
            <v>Main Panel</v>
          </cell>
        </row>
      </sheetData>
      <sheetData sheetId="4144" refreshError="1"/>
      <sheetData sheetId="4145">
        <row r="52">
          <cell r="B52" t="str">
            <v>Main Panel</v>
          </cell>
        </row>
      </sheetData>
      <sheetData sheetId="4146">
        <row r="52">
          <cell r="B52" t="str">
            <v>Main Panel</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ow r="52">
          <cell r="B52" t="str">
            <v>Main Panel</v>
          </cell>
        </row>
      </sheetData>
      <sheetData sheetId="4183" refreshError="1"/>
      <sheetData sheetId="4184" refreshError="1"/>
      <sheetData sheetId="4185" refreshError="1"/>
      <sheetData sheetId="4186" refreshError="1"/>
      <sheetData sheetId="4187">
        <row r="52">
          <cell r="B52" t="str">
            <v>Main Panel</v>
          </cell>
        </row>
      </sheetData>
      <sheetData sheetId="4188" refreshError="1"/>
      <sheetData sheetId="4189" refreshError="1"/>
      <sheetData sheetId="4190" refreshError="1"/>
      <sheetData sheetId="4191" refreshError="1"/>
      <sheetData sheetId="4192" refreshError="1"/>
      <sheetData sheetId="4193">
        <row r="52">
          <cell r="B52" t="str">
            <v>Main Panel</v>
          </cell>
        </row>
      </sheetData>
      <sheetData sheetId="4194">
        <row r="52">
          <cell r="B52" t="str">
            <v>Main Panel</v>
          </cell>
        </row>
      </sheetData>
      <sheetData sheetId="4195" refreshError="1"/>
      <sheetData sheetId="4196" refreshError="1"/>
      <sheetData sheetId="4197">
        <row r="52">
          <cell r="B52" t="str">
            <v>Main Panel</v>
          </cell>
        </row>
      </sheetData>
      <sheetData sheetId="4198">
        <row r="52">
          <cell r="B52" t="str">
            <v>Main Panel</v>
          </cell>
        </row>
      </sheetData>
      <sheetData sheetId="4199" refreshError="1"/>
      <sheetData sheetId="4200">
        <row r="52">
          <cell r="B52" t="str">
            <v>Main Panel</v>
          </cell>
        </row>
      </sheetData>
      <sheetData sheetId="4201">
        <row r="52">
          <cell r="B52" t="str">
            <v>Main Panel</v>
          </cell>
        </row>
      </sheetData>
      <sheetData sheetId="4202">
        <row r="52">
          <cell r="B52" t="str">
            <v>Main Panel</v>
          </cell>
        </row>
      </sheetData>
      <sheetData sheetId="4203">
        <row r="52">
          <cell r="B52" t="str">
            <v>Main Panel</v>
          </cell>
        </row>
      </sheetData>
      <sheetData sheetId="4204">
        <row r="52">
          <cell r="B52" t="str">
            <v>Main Panel</v>
          </cell>
        </row>
      </sheetData>
      <sheetData sheetId="4205">
        <row r="52">
          <cell r="B52" t="str">
            <v>Main Panel</v>
          </cell>
        </row>
      </sheetData>
      <sheetData sheetId="4206" refreshError="1"/>
      <sheetData sheetId="4207" refreshError="1"/>
      <sheetData sheetId="4208" refreshError="1"/>
      <sheetData sheetId="4209" refreshError="1"/>
      <sheetData sheetId="4210" refreshError="1"/>
      <sheetData sheetId="4211">
        <row r="52">
          <cell r="B52" t="str">
            <v>Main Panel</v>
          </cell>
        </row>
      </sheetData>
      <sheetData sheetId="4212">
        <row r="52">
          <cell r="B52" t="str">
            <v>Main Panel</v>
          </cell>
        </row>
      </sheetData>
      <sheetData sheetId="4213">
        <row r="52">
          <cell r="B52" t="str">
            <v>Main Panel</v>
          </cell>
        </row>
      </sheetData>
      <sheetData sheetId="4214">
        <row r="52">
          <cell r="B52" t="str">
            <v>Main Panel</v>
          </cell>
        </row>
      </sheetData>
      <sheetData sheetId="4215">
        <row r="52">
          <cell r="B52" t="str">
            <v>Main Panel</v>
          </cell>
        </row>
      </sheetData>
      <sheetData sheetId="4216">
        <row r="52">
          <cell r="B52" t="str">
            <v>Main Panel</v>
          </cell>
        </row>
      </sheetData>
      <sheetData sheetId="4217">
        <row r="52">
          <cell r="B52" t="str">
            <v>Main Panel</v>
          </cell>
        </row>
      </sheetData>
      <sheetData sheetId="4218">
        <row r="52">
          <cell r="B52" t="str">
            <v>Main Panel</v>
          </cell>
        </row>
      </sheetData>
      <sheetData sheetId="4219">
        <row r="52">
          <cell r="B52" t="str">
            <v>Main Panel</v>
          </cell>
        </row>
      </sheetData>
      <sheetData sheetId="4220">
        <row r="52">
          <cell r="B52" t="str">
            <v>Main Panel</v>
          </cell>
        </row>
      </sheetData>
      <sheetData sheetId="4221">
        <row r="52">
          <cell r="B52" t="str">
            <v>Main Panel</v>
          </cell>
        </row>
      </sheetData>
      <sheetData sheetId="4222">
        <row r="52">
          <cell r="B52" t="str">
            <v>Main Panel</v>
          </cell>
        </row>
      </sheetData>
      <sheetData sheetId="4223">
        <row r="52">
          <cell r="B52" t="str">
            <v>Main Panel</v>
          </cell>
        </row>
      </sheetData>
      <sheetData sheetId="4224">
        <row r="52">
          <cell r="B52" t="str">
            <v>Main Panel</v>
          </cell>
        </row>
      </sheetData>
      <sheetData sheetId="4225">
        <row r="52">
          <cell r="B52" t="str">
            <v>Main Panel</v>
          </cell>
        </row>
      </sheetData>
      <sheetData sheetId="4226">
        <row r="52">
          <cell r="B52" t="str">
            <v>Main Panel</v>
          </cell>
        </row>
      </sheetData>
      <sheetData sheetId="4227">
        <row r="52">
          <cell r="B52" t="str">
            <v>Main Panel</v>
          </cell>
        </row>
      </sheetData>
      <sheetData sheetId="4228">
        <row r="52">
          <cell r="B52" t="str">
            <v>Main Panel</v>
          </cell>
        </row>
      </sheetData>
      <sheetData sheetId="4229">
        <row r="52">
          <cell r="B52" t="str">
            <v>Main Panel</v>
          </cell>
        </row>
      </sheetData>
      <sheetData sheetId="4230">
        <row r="52">
          <cell r="B52" t="str">
            <v>Main Panel</v>
          </cell>
        </row>
      </sheetData>
      <sheetData sheetId="4231">
        <row r="52">
          <cell r="B52" t="str">
            <v>Main Panel</v>
          </cell>
        </row>
      </sheetData>
      <sheetData sheetId="4232">
        <row r="52">
          <cell r="B52" t="str">
            <v>Main Panel</v>
          </cell>
        </row>
      </sheetData>
      <sheetData sheetId="4233">
        <row r="52">
          <cell r="B52" t="str">
            <v>Main Panel</v>
          </cell>
        </row>
      </sheetData>
      <sheetData sheetId="4234">
        <row r="52">
          <cell r="B52" t="str">
            <v>Main Panel</v>
          </cell>
        </row>
      </sheetData>
      <sheetData sheetId="4235">
        <row r="52">
          <cell r="B52" t="str">
            <v>Main Panel</v>
          </cell>
        </row>
      </sheetData>
      <sheetData sheetId="4236">
        <row r="52">
          <cell r="B52" t="str">
            <v>Main Panel</v>
          </cell>
        </row>
      </sheetData>
      <sheetData sheetId="4237">
        <row r="52">
          <cell r="B52" t="str">
            <v>Main Panel</v>
          </cell>
        </row>
      </sheetData>
      <sheetData sheetId="4238">
        <row r="52">
          <cell r="B52" t="str">
            <v>Main Panel</v>
          </cell>
        </row>
      </sheetData>
      <sheetData sheetId="4239">
        <row r="52">
          <cell r="B52" t="str">
            <v>Main Panel</v>
          </cell>
        </row>
      </sheetData>
      <sheetData sheetId="4240">
        <row r="52">
          <cell r="B52" t="str">
            <v>Main Panel</v>
          </cell>
        </row>
      </sheetData>
      <sheetData sheetId="4241">
        <row r="52">
          <cell r="B52" t="str">
            <v>Main Panel</v>
          </cell>
        </row>
      </sheetData>
      <sheetData sheetId="4242">
        <row r="52">
          <cell r="B52" t="str">
            <v>Main Panel</v>
          </cell>
        </row>
      </sheetData>
      <sheetData sheetId="4243">
        <row r="52">
          <cell r="B52" t="str">
            <v>Main Panel</v>
          </cell>
        </row>
      </sheetData>
      <sheetData sheetId="4244">
        <row r="52">
          <cell r="B52" t="str">
            <v>Main Panel</v>
          </cell>
        </row>
      </sheetData>
      <sheetData sheetId="4245">
        <row r="52">
          <cell r="B52" t="str">
            <v>Main Panel</v>
          </cell>
        </row>
      </sheetData>
      <sheetData sheetId="4246">
        <row r="52">
          <cell r="B52" t="str">
            <v>Main Panel</v>
          </cell>
        </row>
      </sheetData>
      <sheetData sheetId="4247">
        <row r="52">
          <cell r="B52" t="str">
            <v>Main Panel</v>
          </cell>
        </row>
      </sheetData>
      <sheetData sheetId="4248">
        <row r="52">
          <cell r="B52" t="str">
            <v>Main Panel</v>
          </cell>
        </row>
      </sheetData>
      <sheetData sheetId="4249">
        <row r="52">
          <cell r="B52" t="str">
            <v>Main Panel</v>
          </cell>
        </row>
      </sheetData>
      <sheetData sheetId="4250">
        <row r="52">
          <cell r="B52" t="str">
            <v>Main Panel</v>
          </cell>
        </row>
      </sheetData>
      <sheetData sheetId="4251">
        <row r="52">
          <cell r="B52" t="str">
            <v>Main Panel</v>
          </cell>
        </row>
      </sheetData>
      <sheetData sheetId="4252">
        <row r="52">
          <cell r="B52" t="str">
            <v>Main Panel</v>
          </cell>
        </row>
      </sheetData>
      <sheetData sheetId="4253">
        <row r="52">
          <cell r="B52" t="str">
            <v>Main Panel</v>
          </cell>
        </row>
      </sheetData>
      <sheetData sheetId="4254">
        <row r="52">
          <cell r="B52" t="str">
            <v>Main Panel</v>
          </cell>
        </row>
      </sheetData>
      <sheetData sheetId="4255">
        <row r="52">
          <cell r="B52" t="str">
            <v>Main Panel</v>
          </cell>
        </row>
      </sheetData>
      <sheetData sheetId="4256">
        <row r="52">
          <cell r="B52" t="str">
            <v>Main Panel</v>
          </cell>
        </row>
      </sheetData>
      <sheetData sheetId="4257">
        <row r="52">
          <cell r="B52" t="str">
            <v>Main Panel</v>
          </cell>
        </row>
      </sheetData>
      <sheetData sheetId="4258">
        <row r="52">
          <cell r="B52" t="str">
            <v>Main Panel</v>
          </cell>
        </row>
      </sheetData>
      <sheetData sheetId="4259">
        <row r="52">
          <cell r="B52" t="str">
            <v>Main Panel</v>
          </cell>
        </row>
      </sheetData>
      <sheetData sheetId="4260">
        <row r="52">
          <cell r="B52" t="str">
            <v>Main Panel</v>
          </cell>
        </row>
      </sheetData>
      <sheetData sheetId="4261">
        <row r="52">
          <cell r="B52" t="str">
            <v>Main Panel</v>
          </cell>
        </row>
      </sheetData>
      <sheetData sheetId="4262">
        <row r="52">
          <cell r="B52" t="str">
            <v>Main Panel</v>
          </cell>
        </row>
      </sheetData>
      <sheetData sheetId="4263">
        <row r="52">
          <cell r="B52" t="str">
            <v>Main Panel</v>
          </cell>
        </row>
      </sheetData>
      <sheetData sheetId="4264">
        <row r="52">
          <cell r="B52" t="str">
            <v>Main Panel</v>
          </cell>
        </row>
      </sheetData>
      <sheetData sheetId="4265">
        <row r="52">
          <cell r="B52" t="str">
            <v>Main Panel</v>
          </cell>
        </row>
      </sheetData>
      <sheetData sheetId="4266">
        <row r="52">
          <cell r="B52" t="str">
            <v>Main Panel</v>
          </cell>
        </row>
      </sheetData>
      <sheetData sheetId="4267">
        <row r="52">
          <cell r="B52" t="str">
            <v>Main Panel</v>
          </cell>
        </row>
      </sheetData>
      <sheetData sheetId="4268">
        <row r="52">
          <cell r="B52" t="str">
            <v>Main Panel</v>
          </cell>
        </row>
      </sheetData>
      <sheetData sheetId="4269">
        <row r="52">
          <cell r="B52" t="str">
            <v>Main Panel</v>
          </cell>
        </row>
      </sheetData>
      <sheetData sheetId="4270">
        <row r="52">
          <cell r="B52" t="str">
            <v>Main Panel</v>
          </cell>
        </row>
      </sheetData>
      <sheetData sheetId="4271">
        <row r="52">
          <cell r="B52" t="str">
            <v>Main Panel</v>
          </cell>
        </row>
      </sheetData>
      <sheetData sheetId="4272">
        <row r="52">
          <cell r="B52" t="str">
            <v>Main Panel</v>
          </cell>
        </row>
      </sheetData>
      <sheetData sheetId="4273">
        <row r="52">
          <cell r="B52" t="str">
            <v>Main Panel</v>
          </cell>
        </row>
      </sheetData>
      <sheetData sheetId="4274">
        <row r="52">
          <cell r="B52" t="str">
            <v>Main Panel</v>
          </cell>
        </row>
      </sheetData>
      <sheetData sheetId="4275">
        <row r="52">
          <cell r="B52" t="str">
            <v>Main Panel</v>
          </cell>
        </row>
      </sheetData>
      <sheetData sheetId="4276">
        <row r="52">
          <cell r="B52" t="str">
            <v>Main Panel</v>
          </cell>
        </row>
      </sheetData>
      <sheetData sheetId="4277">
        <row r="52">
          <cell r="B52" t="str">
            <v>Main Panel</v>
          </cell>
        </row>
      </sheetData>
      <sheetData sheetId="4278"/>
      <sheetData sheetId="4279"/>
      <sheetData sheetId="4280"/>
      <sheetData sheetId="4281"/>
      <sheetData sheetId="4282"/>
      <sheetData sheetId="4283"/>
      <sheetData sheetId="4284"/>
      <sheetData sheetId="4285"/>
      <sheetData sheetId="4286">
        <row r="52">
          <cell r="B52" t="str">
            <v>Main Panel</v>
          </cell>
        </row>
      </sheetData>
      <sheetData sheetId="4287">
        <row r="52">
          <cell r="B52" t="str">
            <v>Main Panel</v>
          </cell>
        </row>
      </sheetData>
      <sheetData sheetId="4288">
        <row r="52">
          <cell r="B52" t="str">
            <v>Main Panel</v>
          </cell>
        </row>
      </sheetData>
      <sheetData sheetId="4289">
        <row r="52">
          <cell r="B52" t="str">
            <v>Main Panel</v>
          </cell>
        </row>
      </sheetData>
      <sheetData sheetId="4290"/>
      <sheetData sheetId="4291"/>
      <sheetData sheetId="4292"/>
      <sheetData sheetId="4293" refreshError="1"/>
      <sheetData sheetId="4294"/>
      <sheetData sheetId="4295" refreshError="1"/>
      <sheetData sheetId="4296" refreshError="1"/>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row r="52">
          <cell r="B52" t="str">
            <v>Main Panel</v>
          </cell>
        </row>
      </sheetData>
      <sheetData sheetId="4315">
        <row r="52">
          <cell r="B52" t="str">
            <v>Main Panel</v>
          </cell>
        </row>
      </sheetData>
      <sheetData sheetId="4316">
        <row r="52">
          <cell r="B52" t="str">
            <v>Main Panel</v>
          </cell>
        </row>
      </sheetData>
      <sheetData sheetId="4317" refreshError="1"/>
      <sheetData sheetId="4318" refreshError="1"/>
      <sheetData sheetId="4319" refreshError="1"/>
      <sheetData sheetId="4320" refreshError="1"/>
      <sheetData sheetId="4321">
        <row r="52">
          <cell r="B52" t="str">
            <v>Main Panel</v>
          </cell>
        </row>
      </sheetData>
      <sheetData sheetId="4322">
        <row r="52">
          <cell r="B52" t="str">
            <v>Main Panel</v>
          </cell>
        </row>
      </sheetData>
      <sheetData sheetId="4323">
        <row r="52">
          <cell r="B52" t="str">
            <v>Main Panel</v>
          </cell>
        </row>
      </sheetData>
      <sheetData sheetId="4324">
        <row r="52">
          <cell r="B52" t="str">
            <v>Main Panel</v>
          </cell>
        </row>
      </sheetData>
      <sheetData sheetId="4325">
        <row r="52">
          <cell r="B52" t="str">
            <v>Main Panel</v>
          </cell>
        </row>
      </sheetData>
      <sheetData sheetId="4326">
        <row r="52">
          <cell r="B52" t="str">
            <v>Main Panel</v>
          </cell>
        </row>
      </sheetData>
      <sheetData sheetId="4327">
        <row r="52">
          <cell r="B52" t="str">
            <v>Main Panel</v>
          </cell>
        </row>
      </sheetData>
      <sheetData sheetId="4328">
        <row r="52">
          <cell r="B52" t="str">
            <v>Main Panel</v>
          </cell>
        </row>
      </sheetData>
      <sheetData sheetId="4329" refreshError="1"/>
      <sheetData sheetId="4330">
        <row r="52">
          <cell r="B52" t="str">
            <v>Main Panel</v>
          </cell>
        </row>
      </sheetData>
      <sheetData sheetId="4331">
        <row r="52">
          <cell r="B52" t="str">
            <v>Main Panel</v>
          </cell>
        </row>
      </sheetData>
      <sheetData sheetId="4332">
        <row r="52">
          <cell r="B52" t="str">
            <v>Main Panel</v>
          </cell>
        </row>
      </sheetData>
      <sheetData sheetId="4333">
        <row r="52">
          <cell r="B52" t="str">
            <v>Main Panel</v>
          </cell>
        </row>
      </sheetData>
      <sheetData sheetId="4334">
        <row r="52">
          <cell r="B52" t="str">
            <v>Main Panel</v>
          </cell>
        </row>
      </sheetData>
      <sheetData sheetId="4335">
        <row r="52">
          <cell r="B52" t="str">
            <v>Main Panel</v>
          </cell>
        </row>
      </sheetData>
      <sheetData sheetId="4336">
        <row r="52">
          <cell r="B52" t="str">
            <v>Main Panel</v>
          </cell>
        </row>
      </sheetData>
      <sheetData sheetId="4337">
        <row r="52">
          <cell r="B52" t="str">
            <v>Main Panel</v>
          </cell>
        </row>
      </sheetData>
      <sheetData sheetId="4338">
        <row r="52">
          <cell r="B52" t="str">
            <v>Main Panel</v>
          </cell>
        </row>
      </sheetData>
      <sheetData sheetId="4339">
        <row r="52">
          <cell r="B52" t="str">
            <v>Main Panel</v>
          </cell>
        </row>
      </sheetData>
      <sheetData sheetId="4340">
        <row r="52">
          <cell r="B52" t="str">
            <v>Main Panel</v>
          </cell>
        </row>
      </sheetData>
      <sheetData sheetId="4341">
        <row r="52">
          <cell r="B52" t="str">
            <v>Main Panel</v>
          </cell>
        </row>
      </sheetData>
      <sheetData sheetId="4342">
        <row r="52">
          <cell r="B52" t="str">
            <v>Main Panel</v>
          </cell>
        </row>
      </sheetData>
      <sheetData sheetId="4343">
        <row r="52">
          <cell r="B52" t="str">
            <v>Main Panel</v>
          </cell>
        </row>
      </sheetData>
      <sheetData sheetId="4344">
        <row r="52">
          <cell r="B52" t="str">
            <v>Main Panel</v>
          </cell>
        </row>
      </sheetData>
      <sheetData sheetId="4345">
        <row r="52">
          <cell r="B52" t="str">
            <v>Main Panel</v>
          </cell>
        </row>
      </sheetData>
      <sheetData sheetId="4346">
        <row r="52">
          <cell r="B52" t="str">
            <v>Main Panel</v>
          </cell>
        </row>
      </sheetData>
      <sheetData sheetId="4347">
        <row r="52">
          <cell r="B52" t="str">
            <v>Main Panel</v>
          </cell>
        </row>
      </sheetData>
      <sheetData sheetId="4348">
        <row r="52">
          <cell r="B52" t="str">
            <v>Main Panel</v>
          </cell>
        </row>
      </sheetData>
      <sheetData sheetId="4349">
        <row r="52">
          <cell r="B52" t="str">
            <v>Main Panel</v>
          </cell>
        </row>
      </sheetData>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ow r="52">
          <cell r="B52" t="str">
            <v>Main Panel</v>
          </cell>
        </row>
      </sheetData>
      <sheetData sheetId="4365">
        <row r="52">
          <cell r="B52" t="str">
            <v>Main Panel</v>
          </cell>
        </row>
      </sheetData>
      <sheetData sheetId="4366">
        <row r="52">
          <cell r="B52" t="str">
            <v>Main Panel</v>
          </cell>
        </row>
      </sheetData>
      <sheetData sheetId="4367">
        <row r="52">
          <cell r="B52" t="str">
            <v>Main Panel</v>
          </cell>
        </row>
      </sheetData>
      <sheetData sheetId="4368">
        <row r="52">
          <cell r="B52" t="str">
            <v>Main Panel</v>
          </cell>
        </row>
      </sheetData>
      <sheetData sheetId="4369">
        <row r="52">
          <cell r="B52" t="str">
            <v>Main Panel</v>
          </cell>
        </row>
      </sheetData>
      <sheetData sheetId="4370">
        <row r="52">
          <cell r="B52" t="str">
            <v>Main Panel</v>
          </cell>
        </row>
      </sheetData>
      <sheetData sheetId="4371">
        <row r="52">
          <cell r="B52" t="str">
            <v>Main Panel</v>
          </cell>
        </row>
      </sheetData>
      <sheetData sheetId="4372">
        <row r="52">
          <cell r="B52" t="str">
            <v>Main Panel</v>
          </cell>
        </row>
      </sheetData>
      <sheetData sheetId="4373">
        <row r="52">
          <cell r="B52" t="str">
            <v>Main Panel</v>
          </cell>
        </row>
      </sheetData>
      <sheetData sheetId="4374">
        <row r="52">
          <cell r="B52" t="str">
            <v>Main Panel</v>
          </cell>
        </row>
      </sheetData>
      <sheetData sheetId="4375">
        <row r="52">
          <cell r="B52" t="str">
            <v>Main Panel</v>
          </cell>
        </row>
      </sheetData>
      <sheetData sheetId="4376">
        <row r="52">
          <cell r="B52" t="str">
            <v>Main Panel</v>
          </cell>
        </row>
      </sheetData>
      <sheetData sheetId="4377">
        <row r="52">
          <cell r="B52" t="str">
            <v>Main Panel</v>
          </cell>
        </row>
      </sheetData>
      <sheetData sheetId="4378">
        <row r="52">
          <cell r="B52" t="str">
            <v>Main Panel</v>
          </cell>
        </row>
      </sheetData>
      <sheetData sheetId="4379">
        <row r="52">
          <cell r="B52" t="str">
            <v>Main Panel</v>
          </cell>
        </row>
      </sheetData>
      <sheetData sheetId="4380">
        <row r="52">
          <cell r="B52" t="str">
            <v>Main Panel</v>
          </cell>
        </row>
      </sheetData>
      <sheetData sheetId="4381">
        <row r="52">
          <cell r="B52" t="str">
            <v>Main Panel</v>
          </cell>
        </row>
      </sheetData>
      <sheetData sheetId="4382">
        <row r="52">
          <cell r="B52" t="str">
            <v>Main Panel</v>
          </cell>
        </row>
      </sheetData>
      <sheetData sheetId="4383">
        <row r="52">
          <cell r="B52" t="str">
            <v>Main Panel</v>
          </cell>
        </row>
      </sheetData>
      <sheetData sheetId="4384">
        <row r="52">
          <cell r="B52" t="str">
            <v>Main Panel</v>
          </cell>
        </row>
      </sheetData>
      <sheetData sheetId="4385">
        <row r="52">
          <cell r="B52" t="str">
            <v>Main Panel</v>
          </cell>
        </row>
      </sheetData>
      <sheetData sheetId="4386">
        <row r="52">
          <cell r="B52" t="str">
            <v>Main Panel</v>
          </cell>
        </row>
      </sheetData>
      <sheetData sheetId="4387">
        <row r="52">
          <cell r="B52" t="str">
            <v>Main Panel</v>
          </cell>
        </row>
      </sheetData>
      <sheetData sheetId="4388">
        <row r="52">
          <cell r="B52" t="str">
            <v>Main Panel</v>
          </cell>
        </row>
      </sheetData>
      <sheetData sheetId="4389">
        <row r="52">
          <cell r="B52" t="str">
            <v>Main Panel</v>
          </cell>
        </row>
      </sheetData>
      <sheetData sheetId="4390">
        <row r="52">
          <cell r="B52" t="str">
            <v>Main Panel</v>
          </cell>
        </row>
      </sheetData>
      <sheetData sheetId="4391">
        <row r="52">
          <cell r="B52" t="str">
            <v>Main Panel</v>
          </cell>
        </row>
      </sheetData>
      <sheetData sheetId="4392">
        <row r="52">
          <cell r="B52" t="str">
            <v>Main Panel</v>
          </cell>
        </row>
      </sheetData>
      <sheetData sheetId="4393">
        <row r="52">
          <cell r="B52" t="str">
            <v>Main Panel</v>
          </cell>
        </row>
      </sheetData>
      <sheetData sheetId="4394">
        <row r="52">
          <cell r="B52" t="str">
            <v>Main Panel</v>
          </cell>
        </row>
      </sheetData>
      <sheetData sheetId="4395">
        <row r="52">
          <cell r="B52" t="str">
            <v>Main Panel</v>
          </cell>
        </row>
      </sheetData>
      <sheetData sheetId="4396">
        <row r="52">
          <cell r="B52" t="str">
            <v>Main Panel</v>
          </cell>
        </row>
      </sheetData>
      <sheetData sheetId="4397">
        <row r="52">
          <cell r="B52" t="str">
            <v>Main Panel</v>
          </cell>
        </row>
      </sheetData>
      <sheetData sheetId="4398">
        <row r="52">
          <cell r="B52" t="str">
            <v>Main Panel</v>
          </cell>
        </row>
      </sheetData>
      <sheetData sheetId="4399">
        <row r="52">
          <cell r="B52" t="str">
            <v>Main Panel</v>
          </cell>
        </row>
      </sheetData>
      <sheetData sheetId="4400">
        <row r="52">
          <cell r="B52" t="str">
            <v>Main Panel</v>
          </cell>
        </row>
      </sheetData>
      <sheetData sheetId="4401">
        <row r="52">
          <cell r="B52" t="str">
            <v>Main Panel</v>
          </cell>
        </row>
      </sheetData>
      <sheetData sheetId="4402">
        <row r="52">
          <cell r="B52" t="str">
            <v>Main Panel</v>
          </cell>
        </row>
      </sheetData>
      <sheetData sheetId="4403">
        <row r="52">
          <cell r="B52" t="str">
            <v>Main Panel</v>
          </cell>
        </row>
      </sheetData>
      <sheetData sheetId="4404">
        <row r="52">
          <cell r="B52" t="str">
            <v>Main Panel</v>
          </cell>
        </row>
      </sheetData>
      <sheetData sheetId="4405">
        <row r="52">
          <cell r="B52" t="str">
            <v>Main Panel</v>
          </cell>
        </row>
      </sheetData>
      <sheetData sheetId="4406">
        <row r="52">
          <cell r="B52" t="str">
            <v>Main Panel</v>
          </cell>
        </row>
      </sheetData>
      <sheetData sheetId="4407">
        <row r="52">
          <cell r="B52" t="str">
            <v>Main Panel</v>
          </cell>
        </row>
      </sheetData>
      <sheetData sheetId="4408">
        <row r="52">
          <cell r="B52" t="str">
            <v>Main Panel</v>
          </cell>
        </row>
      </sheetData>
      <sheetData sheetId="4409">
        <row r="52">
          <cell r="B52" t="str">
            <v>Main Panel</v>
          </cell>
        </row>
      </sheetData>
      <sheetData sheetId="4410">
        <row r="52">
          <cell r="B52" t="str">
            <v>Main Panel</v>
          </cell>
        </row>
      </sheetData>
      <sheetData sheetId="4411">
        <row r="52">
          <cell r="B52" t="str">
            <v>Main Panel</v>
          </cell>
        </row>
      </sheetData>
      <sheetData sheetId="4412">
        <row r="52">
          <cell r="B52" t="str">
            <v>Main Panel</v>
          </cell>
        </row>
      </sheetData>
      <sheetData sheetId="4413">
        <row r="52">
          <cell r="B52" t="str">
            <v>Main Panel</v>
          </cell>
        </row>
      </sheetData>
      <sheetData sheetId="4414">
        <row r="52">
          <cell r="B52" t="str">
            <v>Main Panel</v>
          </cell>
        </row>
      </sheetData>
      <sheetData sheetId="4415">
        <row r="52">
          <cell r="B52" t="str">
            <v>Main Panel</v>
          </cell>
        </row>
      </sheetData>
      <sheetData sheetId="4416">
        <row r="52">
          <cell r="B52" t="str">
            <v>Main Panel</v>
          </cell>
        </row>
      </sheetData>
      <sheetData sheetId="4417">
        <row r="52">
          <cell r="B52" t="str">
            <v>Main Panel</v>
          </cell>
        </row>
      </sheetData>
      <sheetData sheetId="4418">
        <row r="52">
          <cell r="B52" t="str">
            <v>Main Panel</v>
          </cell>
        </row>
      </sheetData>
      <sheetData sheetId="4419">
        <row r="52">
          <cell r="B52" t="str">
            <v>Main Panel</v>
          </cell>
        </row>
      </sheetData>
      <sheetData sheetId="4420">
        <row r="52">
          <cell r="B52" t="str">
            <v>Main Panel</v>
          </cell>
        </row>
      </sheetData>
      <sheetData sheetId="4421">
        <row r="52">
          <cell r="B52" t="str">
            <v>Main Panel</v>
          </cell>
        </row>
      </sheetData>
      <sheetData sheetId="4422">
        <row r="52">
          <cell r="B52" t="str">
            <v>Main Panel</v>
          </cell>
        </row>
      </sheetData>
      <sheetData sheetId="4423">
        <row r="52">
          <cell r="B52" t="str">
            <v>Main Panel</v>
          </cell>
        </row>
      </sheetData>
      <sheetData sheetId="4424">
        <row r="52">
          <cell r="B52" t="str">
            <v>Main Panel</v>
          </cell>
        </row>
      </sheetData>
      <sheetData sheetId="4425">
        <row r="52">
          <cell r="B52" t="str">
            <v>Main Panel</v>
          </cell>
        </row>
      </sheetData>
      <sheetData sheetId="4426">
        <row r="52">
          <cell r="B52" t="str">
            <v>Main Panel</v>
          </cell>
        </row>
      </sheetData>
      <sheetData sheetId="4427">
        <row r="52">
          <cell r="B52" t="str">
            <v>Main Panel</v>
          </cell>
        </row>
      </sheetData>
      <sheetData sheetId="4428">
        <row r="52">
          <cell r="B52" t="str">
            <v>Main Panel</v>
          </cell>
        </row>
      </sheetData>
      <sheetData sheetId="4429">
        <row r="52">
          <cell r="B52" t="str">
            <v>Main Panel</v>
          </cell>
        </row>
      </sheetData>
      <sheetData sheetId="4430">
        <row r="52">
          <cell r="B52" t="str">
            <v>Main Panel</v>
          </cell>
        </row>
      </sheetData>
      <sheetData sheetId="4431">
        <row r="52">
          <cell r="B52" t="str">
            <v>Main Panel</v>
          </cell>
        </row>
      </sheetData>
      <sheetData sheetId="4432">
        <row r="52">
          <cell r="B52" t="str">
            <v>Main Panel</v>
          </cell>
        </row>
      </sheetData>
      <sheetData sheetId="4433">
        <row r="52">
          <cell r="B52" t="str">
            <v>Main Panel</v>
          </cell>
        </row>
      </sheetData>
      <sheetData sheetId="4434">
        <row r="52">
          <cell r="B52" t="str">
            <v>Main Panel</v>
          </cell>
        </row>
      </sheetData>
      <sheetData sheetId="4435">
        <row r="52">
          <cell r="B52" t="str">
            <v>Main Panel</v>
          </cell>
        </row>
      </sheetData>
      <sheetData sheetId="4436">
        <row r="52">
          <cell r="B52" t="str">
            <v>Main Panel</v>
          </cell>
        </row>
      </sheetData>
      <sheetData sheetId="4437">
        <row r="52">
          <cell r="B52" t="str">
            <v>Main Panel</v>
          </cell>
        </row>
      </sheetData>
      <sheetData sheetId="4438">
        <row r="52">
          <cell r="B52" t="str">
            <v>Main Panel</v>
          </cell>
        </row>
      </sheetData>
      <sheetData sheetId="4439">
        <row r="52">
          <cell r="B52" t="str">
            <v>Main Panel</v>
          </cell>
        </row>
      </sheetData>
      <sheetData sheetId="4440">
        <row r="52">
          <cell r="B52" t="str">
            <v>Main Panel</v>
          </cell>
        </row>
      </sheetData>
      <sheetData sheetId="4441">
        <row r="52">
          <cell r="B52" t="str">
            <v>Main Panel</v>
          </cell>
        </row>
      </sheetData>
      <sheetData sheetId="4442">
        <row r="52">
          <cell r="B52" t="str">
            <v>Main Panel</v>
          </cell>
        </row>
      </sheetData>
      <sheetData sheetId="4443">
        <row r="52">
          <cell r="B52" t="str">
            <v>Main Panel</v>
          </cell>
        </row>
      </sheetData>
      <sheetData sheetId="4444">
        <row r="52">
          <cell r="B52" t="str">
            <v>Main Panel</v>
          </cell>
        </row>
      </sheetData>
      <sheetData sheetId="4445">
        <row r="52">
          <cell r="B52" t="str">
            <v>Main Panel</v>
          </cell>
        </row>
      </sheetData>
      <sheetData sheetId="4446">
        <row r="52">
          <cell r="B52" t="str">
            <v>Main Panel</v>
          </cell>
        </row>
      </sheetData>
      <sheetData sheetId="4447">
        <row r="52">
          <cell r="B52" t="str">
            <v>Main Panel</v>
          </cell>
        </row>
      </sheetData>
      <sheetData sheetId="4448">
        <row r="52">
          <cell r="B52" t="str">
            <v>Main Panel</v>
          </cell>
        </row>
      </sheetData>
      <sheetData sheetId="4449">
        <row r="52">
          <cell r="B52" t="str">
            <v>Main Panel</v>
          </cell>
        </row>
      </sheetData>
      <sheetData sheetId="4450">
        <row r="52">
          <cell r="B52" t="str">
            <v>Main Panel</v>
          </cell>
        </row>
      </sheetData>
      <sheetData sheetId="4451">
        <row r="52">
          <cell r="B52" t="str">
            <v>Main Panel</v>
          </cell>
        </row>
      </sheetData>
      <sheetData sheetId="4452">
        <row r="52">
          <cell r="B52" t="str">
            <v>Main Panel</v>
          </cell>
        </row>
      </sheetData>
      <sheetData sheetId="4453">
        <row r="52">
          <cell r="B52" t="str">
            <v>Main Panel</v>
          </cell>
        </row>
      </sheetData>
      <sheetData sheetId="4454">
        <row r="52">
          <cell r="B52" t="str">
            <v>Main Panel</v>
          </cell>
        </row>
      </sheetData>
      <sheetData sheetId="4455">
        <row r="52">
          <cell r="B52" t="str">
            <v>Main Panel</v>
          </cell>
        </row>
      </sheetData>
      <sheetData sheetId="4456">
        <row r="52">
          <cell r="B52" t="str">
            <v>Main Panel</v>
          </cell>
        </row>
      </sheetData>
      <sheetData sheetId="4457">
        <row r="52">
          <cell r="B52" t="str">
            <v>Main Panel</v>
          </cell>
        </row>
      </sheetData>
      <sheetData sheetId="4458">
        <row r="52">
          <cell r="B52" t="str">
            <v>Main Panel</v>
          </cell>
        </row>
      </sheetData>
      <sheetData sheetId="4459">
        <row r="52">
          <cell r="B52" t="str">
            <v>Main Panel</v>
          </cell>
        </row>
      </sheetData>
      <sheetData sheetId="4460">
        <row r="52">
          <cell r="B52" t="str">
            <v>Main Panel</v>
          </cell>
        </row>
      </sheetData>
      <sheetData sheetId="4461">
        <row r="52">
          <cell r="B52" t="str">
            <v>Main Panel</v>
          </cell>
        </row>
      </sheetData>
      <sheetData sheetId="4462">
        <row r="52">
          <cell r="B52" t="str">
            <v>Main Panel</v>
          </cell>
        </row>
      </sheetData>
      <sheetData sheetId="4463">
        <row r="52">
          <cell r="B52" t="str">
            <v>Main Panel</v>
          </cell>
        </row>
      </sheetData>
      <sheetData sheetId="4464">
        <row r="52">
          <cell r="B52" t="str">
            <v>Main Panel</v>
          </cell>
        </row>
      </sheetData>
      <sheetData sheetId="4465">
        <row r="52">
          <cell r="B52" t="str">
            <v>Main Panel</v>
          </cell>
        </row>
      </sheetData>
      <sheetData sheetId="4466">
        <row r="52">
          <cell r="B52" t="str">
            <v>Main Panel</v>
          </cell>
        </row>
      </sheetData>
      <sheetData sheetId="4467">
        <row r="52">
          <cell r="B52" t="str">
            <v>Main Panel</v>
          </cell>
        </row>
      </sheetData>
      <sheetData sheetId="4468">
        <row r="52">
          <cell r="B52" t="str">
            <v>Main Panel</v>
          </cell>
        </row>
      </sheetData>
      <sheetData sheetId="4469">
        <row r="52">
          <cell r="B52" t="str">
            <v>Main Panel</v>
          </cell>
        </row>
      </sheetData>
      <sheetData sheetId="4470">
        <row r="52">
          <cell r="B52" t="str">
            <v>Main Panel</v>
          </cell>
        </row>
      </sheetData>
      <sheetData sheetId="4471">
        <row r="52">
          <cell r="B52" t="str">
            <v>Main Panel</v>
          </cell>
        </row>
      </sheetData>
      <sheetData sheetId="4472">
        <row r="52">
          <cell r="B52" t="str">
            <v>Main Panel</v>
          </cell>
        </row>
      </sheetData>
      <sheetData sheetId="4473">
        <row r="52">
          <cell r="B52" t="str">
            <v>Main Panel</v>
          </cell>
        </row>
      </sheetData>
      <sheetData sheetId="4474">
        <row r="52">
          <cell r="B52" t="str">
            <v>Main Panel</v>
          </cell>
        </row>
      </sheetData>
      <sheetData sheetId="4475">
        <row r="52">
          <cell r="B52" t="str">
            <v>Main Panel</v>
          </cell>
        </row>
      </sheetData>
      <sheetData sheetId="4476">
        <row r="52">
          <cell r="B52" t="str">
            <v>Main Panel</v>
          </cell>
        </row>
      </sheetData>
      <sheetData sheetId="4477">
        <row r="52">
          <cell r="B52" t="str">
            <v>Main Panel</v>
          </cell>
        </row>
      </sheetData>
      <sheetData sheetId="4478">
        <row r="52">
          <cell r="B52" t="str">
            <v>Main Panel</v>
          </cell>
        </row>
      </sheetData>
      <sheetData sheetId="4479">
        <row r="52">
          <cell r="B52" t="str">
            <v>Main Panel</v>
          </cell>
        </row>
      </sheetData>
      <sheetData sheetId="4480">
        <row r="52">
          <cell r="B52" t="str">
            <v>Main Panel</v>
          </cell>
        </row>
      </sheetData>
      <sheetData sheetId="4481">
        <row r="52">
          <cell r="B52" t="str">
            <v>Main Panel</v>
          </cell>
        </row>
      </sheetData>
      <sheetData sheetId="4482">
        <row r="52">
          <cell r="B52" t="str">
            <v>Main Panel</v>
          </cell>
        </row>
      </sheetData>
      <sheetData sheetId="4483">
        <row r="52">
          <cell r="B52" t="str">
            <v>Main Panel</v>
          </cell>
        </row>
      </sheetData>
      <sheetData sheetId="4484">
        <row r="52">
          <cell r="B52" t="str">
            <v>Main Panel</v>
          </cell>
        </row>
      </sheetData>
      <sheetData sheetId="4485">
        <row r="52">
          <cell r="B52" t="str">
            <v>Main Panel</v>
          </cell>
        </row>
      </sheetData>
      <sheetData sheetId="4486">
        <row r="52">
          <cell r="B52" t="str">
            <v>Main Panel</v>
          </cell>
        </row>
      </sheetData>
      <sheetData sheetId="4487">
        <row r="52">
          <cell r="B52" t="str">
            <v>Main Panel</v>
          </cell>
        </row>
      </sheetData>
      <sheetData sheetId="4488">
        <row r="52">
          <cell r="B52" t="str">
            <v>Main Panel</v>
          </cell>
        </row>
      </sheetData>
      <sheetData sheetId="4489">
        <row r="52">
          <cell r="B52" t="str">
            <v>Main Panel</v>
          </cell>
        </row>
      </sheetData>
      <sheetData sheetId="4490">
        <row r="52">
          <cell r="B52" t="str">
            <v>Main Panel</v>
          </cell>
        </row>
      </sheetData>
      <sheetData sheetId="4491">
        <row r="52">
          <cell r="B52" t="str">
            <v>Main Panel</v>
          </cell>
        </row>
      </sheetData>
      <sheetData sheetId="4492">
        <row r="52">
          <cell r="B52" t="str">
            <v>Main Panel</v>
          </cell>
        </row>
      </sheetData>
      <sheetData sheetId="4493">
        <row r="52">
          <cell r="B52" t="str">
            <v>Main Panel</v>
          </cell>
        </row>
      </sheetData>
      <sheetData sheetId="4494">
        <row r="52">
          <cell r="B52" t="str">
            <v>Main Panel</v>
          </cell>
        </row>
      </sheetData>
      <sheetData sheetId="4495">
        <row r="52">
          <cell r="B52" t="str">
            <v>Main Panel</v>
          </cell>
        </row>
      </sheetData>
      <sheetData sheetId="4496">
        <row r="52">
          <cell r="B52" t="str">
            <v>Main Panel</v>
          </cell>
        </row>
      </sheetData>
      <sheetData sheetId="4497">
        <row r="52">
          <cell r="B52" t="str">
            <v>Main Panel</v>
          </cell>
        </row>
      </sheetData>
      <sheetData sheetId="4498">
        <row r="52">
          <cell r="B52" t="str">
            <v>Main Panel</v>
          </cell>
        </row>
      </sheetData>
      <sheetData sheetId="4499">
        <row r="52">
          <cell r="B52" t="str">
            <v>Main Panel</v>
          </cell>
        </row>
      </sheetData>
      <sheetData sheetId="4500">
        <row r="52">
          <cell r="B52" t="str">
            <v>Main Panel</v>
          </cell>
        </row>
      </sheetData>
      <sheetData sheetId="4501">
        <row r="52">
          <cell r="B52" t="str">
            <v>Main Panel</v>
          </cell>
        </row>
      </sheetData>
      <sheetData sheetId="4502">
        <row r="52">
          <cell r="B52" t="str">
            <v>Main Panel</v>
          </cell>
        </row>
      </sheetData>
      <sheetData sheetId="4503">
        <row r="52">
          <cell r="B52" t="str">
            <v>Main Panel</v>
          </cell>
        </row>
      </sheetData>
      <sheetData sheetId="4504">
        <row r="52">
          <cell r="B52" t="str">
            <v>Main Panel</v>
          </cell>
        </row>
      </sheetData>
      <sheetData sheetId="4505">
        <row r="52">
          <cell r="B52" t="str">
            <v>Main Panel</v>
          </cell>
        </row>
      </sheetData>
      <sheetData sheetId="4506">
        <row r="52">
          <cell r="B52" t="str">
            <v>Main Panel</v>
          </cell>
        </row>
      </sheetData>
      <sheetData sheetId="4507">
        <row r="52">
          <cell r="B52" t="str">
            <v>Main Panel</v>
          </cell>
        </row>
      </sheetData>
      <sheetData sheetId="4508">
        <row r="52">
          <cell r="B52" t="str">
            <v>Main Panel</v>
          </cell>
        </row>
      </sheetData>
      <sheetData sheetId="4509">
        <row r="52">
          <cell r="B52" t="str">
            <v>Main Panel</v>
          </cell>
        </row>
      </sheetData>
      <sheetData sheetId="4510">
        <row r="52">
          <cell r="B52" t="str">
            <v>Main Panel</v>
          </cell>
        </row>
      </sheetData>
      <sheetData sheetId="4511">
        <row r="52">
          <cell r="B52" t="str">
            <v>Main Panel</v>
          </cell>
        </row>
      </sheetData>
      <sheetData sheetId="4512">
        <row r="52">
          <cell r="B52" t="str">
            <v>Main Panel</v>
          </cell>
        </row>
      </sheetData>
      <sheetData sheetId="4513">
        <row r="52">
          <cell r="B52" t="str">
            <v>Main Panel</v>
          </cell>
        </row>
      </sheetData>
      <sheetData sheetId="4514">
        <row r="52">
          <cell r="B52" t="str">
            <v>Main Panel</v>
          </cell>
        </row>
      </sheetData>
      <sheetData sheetId="4515">
        <row r="52">
          <cell r="B52" t="str">
            <v>Main Panel</v>
          </cell>
        </row>
      </sheetData>
      <sheetData sheetId="4516">
        <row r="52">
          <cell r="B52" t="str">
            <v>Main Panel</v>
          </cell>
        </row>
      </sheetData>
      <sheetData sheetId="4517">
        <row r="52">
          <cell r="B52" t="str">
            <v>Main Panel</v>
          </cell>
        </row>
      </sheetData>
      <sheetData sheetId="4518">
        <row r="52">
          <cell r="B52" t="str">
            <v>Main Panel</v>
          </cell>
        </row>
      </sheetData>
      <sheetData sheetId="4519">
        <row r="52">
          <cell r="B52" t="str">
            <v>Main Panel</v>
          </cell>
        </row>
      </sheetData>
      <sheetData sheetId="4520">
        <row r="52">
          <cell r="B52" t="str">
            <v>Main Panel</v>
          </cell>
        </row>
      </sheetData>
      <sheetData sheetId="4521">
        <row r="52">
          <cell r="B52" t="str">
            <v>Main Panel</v>
          </cell>
        </row>
      </sheetData>
      <sheetData sheetId="4522">
        <row r="52">
          <cell r="B52" t="str">
            <v>Main Panel</v>
          </cell>
        </row>
      </sheetData>
      <sheetData sheetId="4523">
        <row r="52">
          <cell r="B52" t="str">
            <v>Main Panel</v>
          </cell>
        </row>
      </sheetData>
      <sheetData sheetId="4524">
        <row r="52">
          <cell r="B52" t="str">
            <v>Main Panel</v>
          </cell>
        </row>
      </sheetData>
      <sheetData sheetId="4525">
        <row r="52">
          <cell r="B52" t="str">
            <v>Main Panel</v>
          </cell>
        </row>
      </sheetData>
      <sheetData sheetId="4526">
        <row r="52">
          <cell r="B52" t="str">
            <v>Main Panel</v>
          </cell>
        </row>
      </sheetData>
      <sheetData sheetId="4527">
        <row r="52">
          <cell r="B52" t="str">
            <v>Main Panel</v>
          </cell>
        </row>
      </sheetData>
      <sheetData sheetId="4528">
        <row r="52">
          <cell r="B52" t="str">
            <v>Main Panel</v>
          </cell>
        </row>
      </sheetData>
      <sheetData sheetId="4529">
        <row r="52">
          <cell r="B52" t="str">
            <v>Main Panel</v>
          </cell>
        </row>
      </sheetData>
      <sheetData sheetId="4530">
        <row r="52">
          <cell r="B52" t="str">
            <v>Main Panel</v>
          </cell>
        </row>
      </sheetData>
      <sheetData sheetId="4531">
        <row r="52">
          <cell r="B52" t="str">
            <v>Main Panel</v>
          </cell>
        </row>
      </sheetData>
      <sheetData sheetId="4532">
        <row r="52">
          <cell r="B52" t="str">
            <v>Main Panel</v>
          </cell>
        </row>
      </sheetData>
      <sheetData sheetId="4533">
        <row r="52">
          <cell r="B52" t="str">
            <v>Main Panel</v>
          </cell>
        </row>
      </sheetData>
      <sheetData sheetId="4534">
        <row r="52">
          <cell r="B52" t="str">
            <v>Main Panel</v>
          </cell>
        </row>
      </sheetData>
      <sheetData sheetId="4535">
        <row r="52">
          <cell r="B52" t="str">
            <v>Main Panel</v>
          </cell>
        </row>
      </sheetData>
      <sheetData sheetId="4536">
        <row r="52">
          <cell r="B52" t="str">
            <v>Main Panel</v>
          </cell>
        </row>
      </sheetData>
      <sheetData sheetId="4537">
        <row r="52">
          <cell r="B52" t="str">
            <v>Main Panel</v>
          </cell>
        </row>
      </sheetData>
      <sheetData sheetId="4538">
        <row r="52">
          <cell r="B52" t="str">
            <v>Main Panel</v>
          </cell>
        </row>
      </sheetData>
      <sheetData sheetId="4539">
        <row r="52">
          <cell r="B52" t="str">
            <v>Main Panel</v>
          </cell>
        </row>
      </sheetData>
      <sheetData sheetId="4540">
        <row r="52">
          <cell r="B52" t="str">
            <v>Main Panel</v>
          </cell>
        </row>
      </sheetData>
      <sheetData sheetId="4541">
        <row r="52">
          <cell r="B52" t="str">
            <v>Main Panel</v>
          </cell>
        </row>
      </sheetData>
      <sheetData sheetId="4542">
        <row r="52">
          <cell r="B52" t="str">
            <v>Main Panel</v>
          </cell>
        </row>
      </sheetData>
      <sheetData sheetId="4543">
        <row r="52">
          <cell r="B52" t="str">
            <v>Main Panel</v>
          </cell>
        </row>
      </sheetData>
      <sheetData sheetId="4544">
        <row r="52">
          <cell r="B52" t="str">
            <v>Main Panel</v>
          </cell>
        </row>
      </sheetData>
      <sheetData sheetId="4545">
        <row r="52">
          <cell r="B52" t="str">
            <v>Main Panel</v>
          </cell>
        </row>
      </sheetData>
      <sheetData sheetId="4546">
        <row r="52">
          <cell r="B52" t="str">
            <v>Main Panel</v>
          </cell>
        </row>
      </sheetData>
      <sheetData sheetId="4547">
        <row r="52">
          <cell r="B52" t="str">
            <v>Main Panel</v>
          </cell>
        </row>
      </sheetData>
      <sheetData sheetId="4548">
        <row r="52">
          <cell r="B52" t="str">
            <v>Main Panel</v>
          </cell>
        </row>
      </sheetData>
      <sheetData sheetId="4549">
        <row r="52">
          <cell r="B52" t="str">
            <v>Main Panel</v>
          </cell>
        </row>
      </sheetData>
      <sheetData sheetId="4550">
        <row r="52">
          <cell r="B52" t="str">
            <v>Main Panel</v>
          </cell>
        </row>
      </sheetData>
      <sheetData sheetId="4551">
        <row r="52">
          <cell r="B52" t="str">
            <v>Main Panel</v>
          </cell>
        </row>
      </sheetData>
      <sheetData sheetId="4552">
        <row r="52">
          <cell r="B52" t="str">
            <v>Main Panel</v>
          </cell>
        </row>
      </sheetData>
      <sheetData sheetId="4553">
        <row r="52">
          <cell r="B52" t="str">
            <v>Main Panel</v>
          </cell>
        </row>
      </sheetData>
      <sheetData sheetId="4554">
        <row r="52">
          <cell r="B52" t="str">
            <v>Main Panel</v>
          </cell>
        </row>
      </sheetData>
      <sheetData sheetId="4555">
        <row r="52">
          <cell r="B52" t="str">
            <v>Main Panel</v>
          </cell>
        </row>
      </sheetData>
      <sheetData sheetId="4556">
        <row r="52">
          <cell r="B52" t="str">
            <v>Main Panel</v>
          </cell>
        </row>
      </sheetData>
      <sheetData sheetId="4557">
        <row r="52">
          <cell r="B52" t="str">
            <v>Main Panel</v>
          </cell>
        </row>
      </sheetData>
      <sheetData sheetId="4558">
        <row r="52">
          <cell r="B52" t="str">
            <v>Main Panel</v>
          </cell>
        </row>
      </sheetData>
      <sheetData sheetId="4559">
        <row r="52">
          <cell r="B52" t="str">
            <v>Main Panel</v>
          </cell>
        </row>
      </sheetData>
      <sheetData sheetId="4560">
        <row r="52">
          <cell r="B52" t="str">
            <v>Main Panel</v>
          </cell>
        </row>
      </sheetData>
      <sheetData sheetId="4561">
        <row r="52">
          <cell r="B52" t="str">
            <v>Main Panel</v>
          </cell>
        </row>
      </sheetData>
      <sheetData sheetId="4562">
        <row r="52">
          <cell r="B52" t="str">
            <v>Main Panel</v>
          </cell>
        </row>
      </sheetData>
      <sheetData sheetId="4563">
        <row r="52">
          <cell r="B52" t="str">
            <v>Main Panel</v>
          </cell>
        </row>
      </sheetData>
      <sheetData sheetId="4564">
        <row r="52">
          <cell r="B52" t="str">
            <v>Main Panel</v>
          </cell>
        </row>
      </sheetData>
      <sheetData sheetId="4565">
        <row r="52">
          <cell r="B52" t="str">
            <v>Main Panel</v>
          </cell>
        </row>
      </sheetData>
      <sheetData sheetId="4566">
        <row r="52">
          <cell r="B52" t="str">
            <v>Main Panel</v>
          </cell>
        </row>
      </sheetData>
      <sheetData sheetId="4567">
        <row r="52">
          <cell r="B52" t="str">
            <v>Main Panel</v>
          </cell>
        </row>
      </sheetData>
      <sheetData sheetId="4568">
        <row r="52">
          <cell r="B52" t="str">
            <v>Main Panel</v>
          </cell>
        </row>
      </sheetData>
      <sheetData sheetId="4569">
        <row r="52">
          <cell r="B52" t="str">
            <v>Main Panel</v>
          </cell>
        </row>
      </sheetData>
      <sheetData sheetId="4570">
        <row r="52">
          <cell r="B52" t="str">
            <v>Main Panel</v>
          </cell>
        </row>
      </sheetData>
      <sheetData sheetId="4571">
        <row r="52">
          <cell r="B52" t="str">
            <v>Main Panel</v>
          </cell>
        </row>
      </sheetData>
      <sheetData sheetId="4572">
        <row r="52">
          <cell r="B52" t="str">
            <v>Main Panel</v>
          </cell>
        </row>
      </sheetData>
      <sheetData sheetId="4573">
        <row r="52">
          <cell r="B52" t="str">
            <v>Main Panel</v>
          </cell>
        </row>
      </sheetData>
      <sheetData sheetId="4574">
        <row r="52">
          <cell r="B52" t="str">
            <v>Main Panel</v>
          </cell>
        </row>
      </sheetData>
      <sheetData sheetId="4575">
        <row r="52">
          <cell r="B52" t="str">
            <v>Main Panel</v>
          </cell>
        </row>
      </sheetData>
      <sheetData sheetId="4576">
        <row r="52">
          <cell r="B52" t="str">
            <v>Main Panel</v>
          </cell>
        </row>
      </sheetData>
      <sheetData sheetId="4577">
        <row r="52">
          <cell r="B52" t="str">
            <v>Main Panel</v>
          </cell>
        </row>
      </sheetData>
      <sheetData sheetId="4578">
        <row r="52">
          <cell r="B52" t="str">
            <v>Main Panel</v>
          </cell>
        </row>
      </sheetData>
      <sheetData sheetId="4579">
        <row r="52">
          <cell r="B52" t="str">
            <v>Main Panel</v>
          </cell>
        </row>
      </sheetData>
      <sheetData sheetId="4580">
        <row r="52">
          <cell r="B52" t="str">
            <v>Main Panel</v>
          </cell>
        </row>
      </sheetData>
      <sheetData sheetId="4581">
        <row r="52">
          <cell r="B52" t="str">
            <v>Main Panel</v>
          </cell>
        </row>
      </sheetData>
      <sheetData sheetId="4582">
        <row r="52">
          <cell r="B52" t="str">
            <v>Main Panel</v>
          </cell>
        </row>
      </sheetData>
      <sheetData sheetId="4583">
        <row r="52">
          <cell r="B52" t="str">
            <v>Main Panel</v>
          </cell>
        </row>
      </sheetData>
      <sheetData sheetId="4584">
        <row r="52">
          <cell r="B52" t="str">
            <v>Main Panel</v>
          </cell>
        </row>
      </sheetData>
      <sheetData sheetId="4585">
        <row r="52">
          <cell r="B52" t="str">
            <v>Main Panel</v>
          </cell>
        </row>
      </sheetData>
      <sheetData sheetId="4586">
        <row r="52">
          <cell r="B52" t="str">
            <v>Main Panel</v>
          </cell>
        </row>
      </sheetData>
      <sheetData sheetId="4587">
        <row r="52">
          <cell r="B52" t="str">
            <v>Main Panel</v>
          </cell>
        </row>
      </sheetData>
      <sheetData sheetId="4588">
        <row r="52">
          <cell r="B52" t="str">
            <v>Main Panel</v>
          </cell>
        </row>
      </sheetData>
      <sheetData sheetId="4589">
        <row r="52">
          <cell r="B52" t="str">
            <v>Main Panel</v>
          </cell>
        </row>
      </sheetData>
      <sheetData sheetId="4590">
        <row r="52">
          <cell r="B52" t="str">
            <v>Main Panel</v>
          </cell>
        </row>
      </sheetData>
      <sheetData sheetId="4591">
        <row r="52">
          <cell r="B52" t="str">
            <v>Main Panel</v>
          </cell>
        </row>
      </sheetData>
      <sheetData sheetId="4592">
        <row r="52">
          <cell r="B52" t="str">
            <v>Main Panel</v>
          </cell>
        </row>
      </sheetData>
      <sheetData sheetId="4593">
        <row r="52">
          <cell r="B52" t="str">
            <v>Main Panel</v>
          </cell>
        </row>
      </sheetData>
      <sheetData sheetId="4594">
        <row r="52">
          <cell r="B52" t="str">
            <v>Main Panel</v>
          </cell>
        </row>
      </sheetData>
      <sheetData sheetId="4595">
        <row r="52">
          <cell r="B52" t="str">
            <v>Main Panel</v>
          </cell>
        </row>
      </sheetData>
      <sheetData sheetId="4596">
        <row r="52">
          <cell r="B52" t="str">
            <v>Main Panel</v>
          </cell>
        </row>
      </sheetData>
      <sheetData sheetId="4597">
        <row r="52">
          <cell r="B52" t="str">
            <v>Main Panel</v>
          </cell>
        </row>
      </sheetData>
      <sheetData sheetId="4598">
        <row r="52">
          <cell r="B52" t="str">
            <v>Main Panel</v>
          </cell>
        </row>
      </sheetData>
      <sheetData sheetId="4599">
        <row r="52">
          <cell r="B52" t="str">
            <v>Main Panel</v>
          </cell>
        </row>
      </sheetData>
      <sheetData sheetId="4600">
        <row r="52">
          <cell r="B52" t="str">
            <v>Main Panel</v>
          </cell>
        </row>
      </sheetData>
      <sheetData sheetId="4601">
        <row r="52">
          <cell r="B52" t="str">
            <v>Main Panel</v>
          </cell>
        </row>
      </sheetData>
      <sheetData sheetId="4602">
        <row r="52">
          <cell r="B52" t="str">
            <v>Main Panel</v>
          </cell>
        </row>
      </sheetData>
      <sheetData sheetId="4603">
        <row r="52">
          <cell r="B52" t="str">
            <v>Main Panel</v>
          </cell>
        </row>
      </sheetData>
      <sheetData sheetId="4604">
        <row r="52">
          <cell r="B52" t="str">
            <v>Main Panel</v>
          </cell>
        </row>
      </sheetData>
      <sheetData sheetId="4605">
        <row r="52">
          <cell r="B52" t="str">
            <v>Main Panel</v>
          </cell>
        </row>
      </sheetData>
      <sheetData sheetId="4606">
        <row r="52">
          <cell r="B52" t="str">
            <v>Main Panel</v>
          </cell>
        </row>
      </sheetData>
      <sheetData sheetId="4607">
        <row r="52">
          <cell r="B52" t="str">
            <v>Main Panel</v>
          </cell>
        </row>
      </sheetData>
      <sheetData sheetId="4608">
        <row r="52">
          <cell r="B52" t="str">
            <v>Main Panel</v>
          </cell>
        </row>
      </sheetData>
      <sheetData sheetId="4609">
        <row r="52">
          <cell r="B52" t="str">
            <v>Main Panel</v>
          </cell>
        </row>
      </sheetData>
      <sheetData sheetId="4610">
        <row r="52">
          <cell r="B52" t="str">
            <v>Main Panel</v>
          </cell>
        </row>
      </sheetData>
      <sheetData sheetId="4611">
        <row r="52">
          <cell r="B52" t="str">
            <v>Main Panel</v>
          </cell>
        </row>
      </sheetData>
      <sheetData sheetId="4612">
        <row r="52">
          <cell r="B52" t="str">
            <v>Main Panel</v>
          </cell>
        </row>
      </sheetData>
      <sheetData sheetId="4613">
        <row r="52">
          <cell r="B52" t="str">
            <v>Main Panel</v>
          </cell>
        </row>
      </sheetData>
      <sheetData sheetId="4614">
        <row r="52">
          <cell r="B52" t="str">
            <v>Main Panel</v>
          </cell>
        </row>
      </sheetData>
      <sheetData sheetId="4615">
        <row r="52">
          <cell r="B52" t="str">
            <v>Main Panel</v>
          </cell>
        </row>
      </sheetData>
      <sheetData sheetId="4616">
        <row r="52">
          <cell r="B52" t="str">
            <v>Main Panel</v>
          </cell>
        </row>
      </sheetData>
      <sheetData sheetId="4617">
        <row r="52">
          <cell r="B52" t="str">
            <v>Main Panel</v>
          </cell>
        </row>
      </sheetData>
      <sheetData sheetId="4618">
        <row r="52">
          <cell r="B52" t="str">
            <v>Main Panel</v>
          </cell>
        </row>
      </sheetData>
      <sheetData sheetId="4619">
        <row r="52">
          <cell r="B52" t="str">
            <v>Main Panel</v>
          </cell>
        </row>
      </sheetData>
      <sheetData sheetId="4620">
        <row r="52">
          <cell r="B52" t="str">
            <v>Main Panel</v>
          </cell>
        </row>
      </sheetData>
      <sheetData sheetId="4621">
        <row r="52">
          <cell r="B52" t="str">
            <v>Main Panel</v>
          </cell>
        </row>
      </sheetData>
      <sheetData sheetId="4622">
        <row r="52">
          <cell r="B52" t="str">
            <v>Main Panel</v>
          </cell>
        </row>
      </sheetData>
      <sheetData sheetId="4623">
        <row r="52">
          <cell r="B52" t="str">
            <v>Main Panel</v>
          </cell>
        </row>
      </sheetData>
      <sheetData sheetId="4624">
        <row r="52">
          <cell r="B52" t="str">
            <v>Main Panel</v>
          </cell>
        </row>
      </sheetData>
      <sheetData sheetId="4625">
        <row r="52">
          <cell r="B52" t="str">
            <v>Main Panel</v>
          </cell>
        </row>
      </sheetData>
      <sheetData sheetId="4626">
        <row r="52">
          <cell r="B52" t="str">
            <v>Main Panel</v>
          </cell>
        </row>
      </sheetData>
      <sheetData sheetId="4627">
        <row r="52">
          <cell r="B52" t="str">
            <v>Main Panel</v>
          </cell>
        </row>
      </sheetData>
      <sheetData sheetId="4628">
        <row r="52">
          <cell r="B52" t="str">
            <v>Main Panel</v>
          </cell>
        </row>
      </sheetData>
      <sheetData sheetId="4629">
        <row r="52">
          <cell r="B52" t="str">
            <v>Main Panel</v>
          </cell>
        </row>
      </sheetData>
      <sheetData sheetId="4630">
        <row r="52">
          <cell r="B52" t="str">
            <v>Main Panel</v>
          </cell>
        </row>
      </sheetData>
      <sheetData sheetId="4631">
        <row r="52">
          <cell r="B52" t="str">
            <v>Main Panel</v>
          </cell>
        </row>
      </sheetData>
      <sheetData sheetId="4632">
        <row r="52">
          <cell r="B52" t="str">
            <v>Main Panel</v>
          </cell>
        </row>
      </sheetData>
      <sheetData sheetId="4633">
        <row r="52">
          <cell r="B52" t="str">
            <v>Main Panel</v>
          </cell>
        </row>
      </sheetData>
      <sheetData sheetId="4634">
        <row r="52">
          <cell r="B52" t="str">
            <v>Main Panel</v>
          </cell>
        </row>
      </sheetData>
      <sheetData sheetId="4635">
        <row r="52">
          <cell r="B52" t="str">
            <v>Main Panel</v>
          </cell>
        </row>
      </sheetData>
      <sheetData sheetId="4636">
        <row r="52">
          <cell r="B52" t="str">
            <v>Main Panel</v>
          </cell>
        </row>
      </sheetData>
      <sheetData sheetId="4637">
        <row r="52">
          <cell r="B52" t="str">
            <v>Main Panel</v>
          </cell>
        </row>
      </sheetData>
      <sheetData sheetId="4638">
        <row r="52">
          <cell r="B52" t="str">
            <v>Main Panel</v>
          </cell>
        </row>
      </sheetData>
      <sheetData sheetId="4639">
        <row r="52">
          <cell r="B52" t="str">
            <v>Main Panel</v>
          </cell>
        </row>
      </sheetData>
      <sheetData sheetId="4640">
        <row r="52">
          <cell r="B52" t="str">
            <v>Main Panel</v>
          </cell>
        </row>
      </sheetData>
      <sheetData sheetId="4641">
        <row r="52">
          <cell r="B52" t="str">
            <v>Main Panel</v>
          </cell>
        </row>
      </sheetData>
      <sheetData sheetId="4642">
        <row r="52">
          <cell r="B52" t="str">
            <v>Main Panel</v>
          </cell>
        </row>
      </sheetData>
      <sheetData sheetId="4643">
        <row r="52">
          <cell r="B52" t="str">
            <v>Main Panel</v>
          </cell>
        </row>
      </sheetData>
      <sheetData sheetId="4644">
        <row r="52">
          <cell r="B52" t="str">
            <v>Main Panel</v>
          </cell>
        </row>
      </sheetData>
      <sheetData sheetId="4645">
        <row r="52">
          <cell r="B52" t="str">
            <v>Main Panel</v>
          </cell>
        </row>
      </sheetData>
      <sheetData sheetId="4646">
        <row r="52">
          <cell r="B52" t="str">
            <v>Main Panel</v>
          </cell>
        </row>
      </sheetData>
      <sheetData sheetId="4647">
        <row r="52">
          <cell r="B52" t="str">
            <v>Main Panel</v>
          </cell>
        </row>
      </sheetData>
      <sheetData sheetId="4648">
        <row r="52">
          <cell r="B52" t="str">
            <v>Main Panel</v>
          </cell>
        </row>
      </sheetData>
      <sheetData sheetId="4649">
        <row r="52">
          <cell r="B52" t="str">
            <v>Main Panel</v>
          </cell>
        </row>
      </sheetData>
      <sheetData sheetId="4650">
        <row r="52">
          <cell r="B52" t="str">
            <v>Main Panel</v>
          </cell>
        </row>
      </sheetData>
      <sheetData sheetId="4651">
        <row r="52">
          <cell r="B52" t="str">
            <v>Main Panel</v>
          </cell>
        </row>
      </sheetData>
      <sheetData sheetId="4652">
        <row r="52">
          <cell r="B52" t="str">
            <v>Main Panel</v>
          </cell>
        </row>
      </sheetData>
      <sheetData sheetId="4653">
        <row r="52">
          <cell r="B52" t="str">
            <v>Main Panel</v>
          </cell>
        </row>
      </sheetData>
      <sheetData sheetId="4654">
        <row r="52">
          <cell r="B52" t="str">
            <v>Main Panel</v>
          </cell>
        </row>
      </sheetData>
      <sheetData sheetId="4655">
        <row r="52">
          <cell r="B52" t="str">
            <v>Main Panel</v>
          </cell>
        </row>
      </sheetData>
      <sheetData sheetId="4656">
        <row r="52">
          <cell r="B52" t="str">
            <v>Main Panel</v>
          </cell>
        </row>
      </sheetData>
      <sheetData sheetId="4657">
        <row r="52">
          <cell r="B52" t="str">
            <v>Main Panel</v>
          </cell>
        </row>
      </sheetData>
      <sheetData sheetId="4658">
        <row r="52">
          <cell r="B52" t="str">
            <v>Main Panel</v>
          </cell>
        </row>
      </sheetData>
      <sheetData sheetId="4659">
        <row r="52">
          <cell r="B52" t="str">
            <v>Main Panel</v>
          </cell>
        </row>
      </sheetData>
      <sheetData sheetId="4660">
        <row r="52">
          <cell r="B52" t="str">
            <v>Main Panel</v>
          </cell>
        </row>
      </sheetData>
      <sheetData sheetId="4661">
        <row r="52">
          <cell r="B52" t="str">
            <v>Main Panel</v>
          </cell>
        </row>
      </sheetData>
      <sheetData sheetId="4662">
        <row r="52">
          <cell r="B52" t="str">
            <v>Main Panel</v>
          </cell>
        </row>
      </sheetData>
      <sheetData sheetId="4663">
        <row r="52">
          <cell r="B52" t="str">
            <v>Main Panel</v>
          </cell>
        </row>
      </sheetData>
      <sheetData sheetId="4664">
        <row r="52">
          <cell r="B52" t="str">
            <v>Main Panel</v>
          </cell>
        </row>
      </sheetData>
      <sheetData sheetId="4665">
        <row r="52">
          <cell r="B52" t="str">
            <v>Main Panel</v>
          </cell>
        </row>
      </sheetData>
      <sheetData sheetId="4666">
        <row r="52">
          <cell r="B52" t="str">
            <v>Main Panel</v>
          </cell>
        </row>
      </sheetData>
      <sheetData sheetId="4667">
        <row r="52">
          <cell r="B52" t="str">
            <v>Main Panel</v>
          </cell>
        </row>
      </sheetData>
      <sheetData sheetId="4668">
        <row r="52">
          <cell r="B52" t="str">
            <v>Main Panel</v>
          </cell>
        </row>
      </sheetData>
      <sheetData sheetId="4669">
        <row r="52">
          <cell r="B52" t="str">
            <v>Main Panel</v>
          </cell>
        </row>
      </sheetData>
      <sheetData sheetId="4670">
        <row r="52">
          <cell r="B52" t="str">
            <v>Main Panel</v>
          </cell>
        </row>
      </sheetData>
      <sheetData sheetId="4671">
        <row r="52">
          <cell r="B52" t="str">
            <v>Main Panel</v>
          </cell>
        </row>
      </sheetData>
      <sheetData sheetId="4672">
        <row r="52">
          <cell r="B52" t="str">
            <v>Main Panel</v>
          </cell>
        </row>
      </sheetData>
      <sheetData sheetId="4673">
        <row r="52">
          <cell r="B52" t="str">
            <v>Main Panel</v>
          </cell>
        </row>
      </sheetData>
      <sheetData sheetId="4674">
        <row r="52">
          <cell r="B52" t="str">
            <v>Main Panel</v>
          </cell>
        </row>
      </sheetData>
      <sheetData sheetId="4675">
        <row r="52">
          <cell r="B52" t="str">
            <v>Main Panel</v>
          </cell>
        </row>
      </sheetData>
      <sheetData sheetId="4676">
        <row r="52">
          <cell r="B52" t="str">
            <v>Main Panel</v>
          </cell>
        </row>
      </sheetData>
      <sheetData sheetId="4677">
        <row r="52">
          <cell r="B52" t="str">
            <v>Main Panel</v>
          </cell>
        </row>
      </sheetData>
      <sheetData sheetId="4678">
        <row r="52">
          <cell r="B52" t="str">
            <v>Main Panel</v>
          </cell>
        </row>
      </sheetData>
      <sheetData sheetId="4679">
        <row r="52">
          <cell r="B52" t="str">
            <v>Main Panel</v>
          </cell>
        </row>
      </sheetData>
      <sheetData sheetId="4680">
        <row r="52">
          <cell r="B52" t="str">
            <v>Main Panel</v>
          </cell>
        </row>
      </sheetData>
      <sheetData sheetId="4681">
        <row r="52">
          <cell r="B52" t="str">
            <v>Main Panel</v>
          </cell>
        </row>
      </sheetData>
      <sheetData sheetId="4682">
        <row r="52">
          <cell r="B52" t="str">
            <v>Main Panel</v>
          </cell>
        </row>
      </sheetData>
      <sheetData sheetId="4683">
        <row r="52">
          <cell r="B52" t="str">
            <v>Main Panel</v>
          </cell>
        </row>
      </sheetData>
      <sheetData sheetId="4684">
        <row r="52">
          <cell r="B52" t="str">
            <v>Main Panel</v>
          </cell>
        </row>
      </sheetData>
      <sheetData sheetId="4685">
        <row r="52">
          <cell r="B52" t="str">
            <v>Main Panel</v>
          </cell>
        </row>
      </sheetData>
      <sheetData sheetId="4686">
        <row r="52">
          <cell r="B52" t="str">
            <v>Main Panel</v>
          </cell>
        </row>
      </sheetData>
      <sheetData sheetId="4687">
        <row r="52">
          <cell r="B52" t="str">
            <v>Main Panel</v>
          </cell>
        </row>
      </sheetData>
      <sheetData sheetId="4688">
        <row r="52">
          <cell r="B52" t="str">
            <v>Main Panel</v>
          </cell>
        </row>
      </sheetData>
      <sheetData sheetId="4689">
        <row r="52">
          <cell r="B52" t="str">
            <v>Main Panel</v>
          </cell>
        </row>
      </sheetData>
      <sheetData sheetId="4690">
        <row r="52">
          <cell r="B52" t="str">
            <v>Main Panel</v>
          </cell>
        </row>
      </sheetData>
      <sheetData sheetId="4691">
        <row r="52">
          <cell r="B52" t="str">
            <v>Main Panel</v>
          </cell>
        </row>
      </sheetData>
      <sheetData sheetId="4692">
        <row r="52">
          <cell r="B52" t="str">
            <v>Main Panel</v>
          </cell>
        </row>
      </sheetData>
      <sheetData sheetId="4693">
        <row r="52">
          <cell r="B52" t="str">
            <v>Main Panel</v>
          </cell>
        </row>
      </sheetData>
      <sheetData sheetId="4694">
        <row r="52">
          <cell r="B52" t="str">
            <v>Main Panel</v>
          </cell>
        </row>
      </sheetData>
      <sheetData sheetId="4695">
        <row r="52">
          <cell r="B52" t="str">
            <v>Main Panel</v>
          </cell>
        </row>
      </sheetData>
      <sheetData sheetId="4696">
        <row r="52">
          <cell r="B52" t="str">
            <v>Main Panel</v>
          </cell>
        </row>
      </sheetData>
      <sheetData sheetId="4697">
        <row r="52">
          <cell r="B52" t="str">
            <v>Main Panel</v>
          </cell>
        </row>
      </sheetData>
      <sheetData sheetId="4698">
        <row r="52">
          <cell r="B52" t="str">
            <v>Main Panel</v>
          </cell>
        </row>
      </sheetData>
      <sheetData sheetId="4699">
        <row r="52">
          <cell r="B52" t="str">
            <v>Main Panel</v>
          </cell>
        </row>
      </sheetData>
      <sheetData sheetId="4700">
        <row r="52">
          <cell r="B52" t="str">
            <v>Main Panel</v>
          </cell>
        </row>
      </sheetData>
      <sheetData sheetId="4701">
        <row r="52">
          <cell r="B52" t="str">
            <v>Main Panel</v>
          </cell>
        </row>
      </sheetData>
      <sheetData sheetId="4702">
        <row r="52">
          <cell r="B52" t="str">
            <v>Main Panel</v>
          </cell>
        </row>
      </sheetData>
      <sheetData sheetId="4703">
        <row r="52">
          <cell r="B52" t="str">
            <v>Main Panel</v>
          </cell>
        </row>
      </sheetData>
      <sheetData sheetId="4704">
        <row r="52">
          <cell r="B52" t="str">
            <v>Main Panel</v>
          </cell>
        </row>
      </sheetData>
      <sheetData sheetId="4705">
        <row r="52">
          <cell r="B52" t="str">
            <v>Main Panel</v>
          </cell>
        </row>
      </sheetData>
      <sheetData sheetId="4706">
        <row r="52">
          <cell r="B52" t="str">
            <v>Main Panel</v>
          </cell>
        </row>
      </sheetData>
      <sheetData sheetId="4707">
        <row r="52">
          <cell r="B52" t="str">
            <v>Main Panel</v>
          </cell>
        </row>
      </sheetData>
      <sheetData sheetId="4708">
        <row r="52">
          <cell r="B52" t="str">
            <v>Main Panel</v>
          </cell>
        </row>
      </sheetData>
      <sheetData sheetId="4709">
        <row r="52">
          <cell r="B52" t="str">
            <v>Main Panel</v>
          </cell>
        </row>
      </sheetData>
      <sheetData sheetId="4710">
        <row r="52">
          <cell r="B52" t="str">
            <v>Main Panel</v>
          </cell>
        </row>
      </sheetData>
      <sheetData sheetId="4711">
        <row r="52">
          <cell r="B52" t="str">
            <v>Main Panel</v>
          </cell>
        </row>
      </sheetData>
      <sheetData sheetId="4712">
        <row r="52">
          <cell r="B52" t="str">
            <v>Main Panel</v>
          </cell>
        </row>
      </sheetData>
      <sheetData sheetId="4713">
        <row r="52">
          <cell r="B52" t="str">
            <v>Main Panel</v>
          </cell>
        </row>
      </sheetData>
      <sheetData sheetId="4714">
        <row r="52">
          <cell r="B52" t="str">
            <v>Main Panel</v>
          </cell>
        </row>
      </sheetData>
      <sheetData sheetId="4715">
        <row r="52">
          <cell r="B52" t="str">
            <v>Main Panel</v>
          </cell>
        </row>
      </sheetData>
      <sheetData sheetId="4716">
        <row r="52">
          <cell r="B52" t="str">
            <v>Main Panel</v>
          </cell>
        </row>
      </sheetData>
      <sheetData sheetId="4717">
        <row r="52">
          <cell r="B52" t="str">
            <v>Main Panel</v>
          </cell>
        </row>
      </sheetData>
      <sheetData sheetId="4718">
        <row r="52">
          <cell r="B52" t="str">
            <v>Main Panel</v>
          </cell>
        </row>
      </sheetData>
      <sheetData sheetId="4719">
        <row r="52">
          <cell r="B52" t="str">
            <v>Main Panel</v>
          </cell>
        </row>
      </sheetData>
      <sheetData sheetId="4720">
        <row r="52">
          <cell r="B52" t="str">
            <v>Main Panel</v>
          </cell>
        </row>
      </sheetData>
      <sheetData sheetId="4721">
        <row r="52">
          <cell r="B52" t="str">
            <v>Main Panel</v>
          </cell>
        </row>
      </sheetData>
      <sheetData sheetId="4722">
        <row r="52">
          <cell r="B52" t="str">
            <v>Main Panel</v>
          </cell>
        </row>
      </sheetData>
      <sheetData sheetId="4723">
        <row r="52">
          <cell r="B52" t="str">
            <v>Main Panel</v>
          </cell>
        </row>
      </sheetData>
      <sheetData sheetId="4724">
        <row r="52">
          <cell r="B52" t="str">
            <v>Main Panel</v>
          </cell>
        </row>
      </sheetData>
      <sheetData sheetId="4725">
        <row r="52">
          <cell r="B52" t="str">
            <v>Main Panel</v>
          </cell>
        </row>
      </sheetData>
      <sheetData sheetId="4726">
        <row r="52">
          <cell r="B52" t="str">
            <v>Main Panel</v>
          </cell>
        </row>
      </sheetData>
      <sheetData sheetId="4727">
        <row r="52">
          <cell r="B52" t="str">
            <v>Main Panel</v>
          </cell>
        </row>
      </sheetData>
      <sheetData sheetId="4728">
        <row r="52">
          <cell r="B52" t="str">
            <v>Main Panel</v>
          </cell>
        </row>
      </sheetData>
      <sheetData sheetId="4729">
        <row r="52">
          <cell r="B52" t="str">
            <v>Main Panel</v>
          </cell>
        </row>
      </sheetData>
      <sheetData sheetId="4730">
        <row r="52">
          <cell r="B52" t="str">
            <v>Main Panel</v>
          </cell>
        </row>
      </sheetData>
      <sheetData sheetId="4731">
        <row r="52">
          <cell r="B52" t="str">
            <v>Main Panel</v>
          </cell>
        </row>
      </sheetData>
      <sheetData sheetId="4732">
        <row r="52">
          <cell r="B52" t="str">
            <v>Main Panel</v>
          </cell>
        </row>
      </sheetData>
      <sheetData sheetId="4733">
        <row r="52">
          <cell r="B52" t="str">
            <v>Main Panel</v>
          </cell>
        </row>
      </sheetData>
      <sheetData sheetId="4734">
        <row r="52">
          <cell r="B52" t="str">
            <v>Main Panel</v>
          </cell>
        </row>
      </sheetData>
      <sheetData sheetId="4735">
        <row r="52">
          <cell r="B52" t="str">
            <v>Main Panel</v>
          </cell>
        </row>
      </sheetData>
      <sheetData sheetId="4736"/>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sheetData sheetId="4756"/>
      <sheetData sheetId="4757"/>
      <sheetData sheetId="4758"/>
      <sheetData sheetId="4759"/>
      <sheetData sheetId="4760"/>
      <sheetData sheetId="4761"/>
      <sheetData sheetId="4762"/>
      <sheetData sheetId="4763"/>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ow r="52">
          <cell r="B52" t="str">
            <v>Main Panel</v>
          </cell>
        </row>
      </sheetData>
      <sheetData sheetId="4798">
        <row r="52">
          <cell r="B52" t="str">
            <v>Main Panel</v>
          </cell>
        </row>
      </sheetData>
      <sheetData sheetId="4799">
        <row r="52">
          <cell r="B52" t="str">
            <v>Main Panel</v>
          </cell>
        </row>
      </sheetData>
      <sheetData sheetId="4800">
        <row r="52">
          <cell r="B52" t="str">
            <v>Main Panel</v>
          </cell>
        </row>
      </sheetData>
      <sheetData sheetId="4801" refreshError="1"/>
      <sheetData sheetId="4802" refreshError="1"/>
      <sheetData sheetId="4803" refreshError="1"/>
      <sheetData sheetId="4804" refreshError="1"/>
      <sheetData sheetId="4805">
        <row r="52">
          <cell r="B52" t="str">
            <v>Main Panel</v>
          </cell>
        </row>
      </sheetData>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ow r="52">
          <cell r="B52" t="str">
            <v>Main Panel</v>
          </cell>
        </row>
      </sheetData>
      <sheetData sheetId="4818">
        <row r="52">
          <cell r="B52" t="str">
            <v>Main Panel</v>
          </cell>
        </row>
      </sheetData>
      <sheetData sheetId="4819">
        <row r="52">
          <cell r="B52" t="str">
            <v>Main Panel</v>
          </cell>
        </row>
      </sheetData>
      <sheetData sheetId="4820">
        <row r="52">
          <cell r="B52" t="str">
            <v>Main Panel</v>
          </cell>
        </row>
      </sheetData>
      <sheetData sheetId="4821">
        <row r="52">
          <cell r="B52" t="str">
            <v>Main Panel</v>
          </cell>
        </row>
      </sheetData>
      <sheetData sheetId="4822">
        <row r="52">
          <cell r="B52" t="str">
            <v>Main Panel</v>
          </cell>
        </row>
      </sheetData>
      <sheetData sheetId="4823">
        <row r="52">
          <cell r="B52" t="str">
            <v>Main Panel</v>
          </cell>
        </row>
      </sheetData>
      <sheetData sheetId="4824">
        <row r="52">
          <cell r="B52" t="str">
            <v>Main Panel</v>
          </cell>
        </row>
      </sheetData>
      <sheetData sheetId="4825">
        <row r="52">
          <cell r="B52" t="str">
            <v>Main Panel</v>
          </cell>
        </row>
      </sheetData>
      <sheetData sheetId="4826">
        <row r="52">
          <cell r="B52" t="str">
            <v>Main Panel</v>
          </cell>
        </row>
      </sheetData>
      <sheetData sheetId="4827">
        <row r="52">
          <cell r="B52" t="str">
            <v>Main Panel</v>
          </cell>
        </row>
      </sheetData>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52">
          <cell r="B52" t="str">
            <v>Main Panel</v>
          </cell>
        </row>
      </sheetData>
      <sheetData sheetId="4838">
        <row r="52">
          <cell r="B52" t="str">
            <v>Main Panel</v>
          </cell>
        </row>
      </sheetData>
      <sheetData sheetId="4839">
        <row r="52">
          <cell r="B52" t="str">
            <v>Main Panel</v>
          </cell>
        </row>
      </sheetData>
      <sheetData sheetId="4840">
        <row r="52">
          <cell r="B52" t="str">
            <v>Main Panel</v>
          </cell>
        </row>
      </sheetData>
      <sheetData sheetId="4841">
        <row r="52">
          <cell r="B52" t="str">
            <v>Main Panel</v>
          </cell>
        </row>
      </sheetData>
      <sheetData sheetId="4842">
        <row r="52">
          <cell r="B52" t="str">
            <v>Main Panel</v>
          </cell>
        </row>
      </sheetData>
      <sheetData sheetId="4843">
        <row r="52">
          <cell r="B52" t="str">
            <v>Main Panel</v>
          </cell>
        </row>
      </sheetData>
      <sheetData sheetId="4844">
        <row r="52">
          <cell r="B52" t="str">
            <v>Main Panel</v>
          </cell>
        </row>
      </sheetData>
      <sheetData sheetId="4845">
        <row r="52">
          <cell r="B52" t="str">
            <v>Main Panel</v>
          </cell>
        </row>
      </sheetData>
      <sheetData sheetId="4846">
        <row r="52">
          <cell r="B52" t="str">
            <v>Main Panel</v>
          </cell>
        </row>
      </sheetData>
      <sheetData sheetId="4847">
        <row r="52">
          <cell r="B52" t="str">
            <v>Main Panel</v>
          </cell>
        </row>
      </sheetData>
      <sheetData sheetId="4848">
        <row r="52">
          <cell r="B52" t="str">
            <v>Main Panel</v>
          </cell>
        </row>
      </sheetData>
      <sheetData sheetId="4849">
        <row r="52">
          <cell r="B52" t="str">
            <v>Main Panel</v>
          </cell>
        </row>
      </sheetData>
      <sheetData sheetId="4850">
        <row r="52">
          <cell r="B52" t="str">
            <v>Main Panel</v>
          </cell>
        </row>
      </sheetData>
      <sheetData sheetId="4851">
        <row r="52">
          <cell r="B52" t="str">
            <v>Main Panel</v>
          </cell>
        </row>
      </sheetData>
      <sheetData sheetId="4852">
        <row r="52">
          <cell r="B52" t="str">
            <v>Main Panel</v>
          </cell>
        </row>
      </sheetData>
      <sheetData sheetId="4853">
        <row r="52">
          <cell r="B52" t="str">
            <v>Main Panel</v>
          </cell>
        </row>
      </sheetData>
      <sheetData sheetId="4854">
        <row r="52">
          <cell r="B52" t="str">
            <v>Main Panel</v>
          </cell>
        </row>
      </sheetData>
      <sheetData sheetId="4855">
        <row r="52">
          <cell r="B52" t="str">
            <v>Main Panel</v>
          </cell>
        </row>
      </sheetData>
      <sheetData sheetId="4856">
        <row r="52">
          <cell r="B52" t="str">
            <v>Main Panel</v>
          </cell>
        </row>
      </sheetData>
      <sheetData sheetId="4857">
        <row r="52">
          <cell r="B52" t="str">
            <v>Main Panel</v>
          </cell>
        </row>
      </sheetData>
      <sheetData sheetId="4858">
        <row r="52">
          <cell r="B52" t="str">
            <v>Main Panel</v>
          </cell>
        </row>
      </sheetData>
      <sheetData sheetId="4859">
        <row r="52">
          <cell r="B52" t="str">
            <v>Main Panel</v>
          </cell>
        </row>
      </sheetData>
      <sheetData sheetId="4860">
        <row r="52">
          <cell r="B52" t="str">
            <v>Main Panel</v>
          </cell>
        </row>
      </sheetData>
      <sheetData sheetId="4861">
        <row r="52">
          <cell r="B52" t="str">
            <v>Main Panel</v>
          </cell>
        </row>
      </sheetData>
      <sheetData sheetId="4862">
        <row r="52">
          <cell r="B52" t="str">
            <v>Main Panel</v>
          </cell>
        </row>
      </sheetData>
      <sheetData sheetId="4863">
        <row r="52">
          <cell r="B52" t="str">
            <v>Main Panel</v>
          </cell>
        </row>
      </sheetData>
      <sheetData sheetId="4864">
        <row r="52">
          <cell r="B52" t="str">
            <v>Main Panel</v>
          </cell>
        </row>
      </sheetData>
      <sheetData sheetId="4865">
        <row r="52">
          <cell r="B52" t="str">
            <v>Main Panel</v>
          </cell>
        </row>
      </sheetData>
      <sheetData sheetId="4866">
        <row r="52">
          <cell r="B52" t="str">
            <v>Main Panel</v>
          </cell>
        </row>
      </sheetData>
      <sheetData sheetId="4867">
        <row r="52">
          <cell r="B52" t="str">
            <v>Main Panel</v>
          </cell>
        </row>
      </sheetData>
      <sheetData sheetId="4868">
        <row r="52">
          <cell r="B52" t="str">
            <v>Main Panel</v>
          </cell>
        </row>
      </sheetData>
      <sheetData sheetId="4869">
        <row r="52">
          <cell r="B52" t="str">
            <v>Main Panel</v>
          </cell>
        </row>
      </sheetData>
      <sheetData sheetId="4870">
        <row r="52">
          <cell r="B52" t="str">
            <v>Main Panel</v>
          </cell>
        </row>
      </sheetData>
      <sheetData sheetId="4871">
        <row r="52">
          <cell r="B52" t="str">
            <v>Main Panel</v>
          </cell>
        </row>
      </sheetData>
      <sheetData sheetId="4872">
        <row r="52">
          <cell r="B52" t="str">
            <v>Main Panel</v>
          </cell>
        </row>
      </sheetData>
      <sheetData sheetId="4873">
        <row r="52">
          <cell r="B52" t="str">
            <v>Main Panel</v>
          </cell>
        </row>
      </sheetData>
      <sheetData sheetId="4874">
        <row r="52">
          <cell r="B52" t="str">
            <v>Main Panel</v>
          </cell>
        </row>
      </sheetData>
      <sheetData sheetId="4875">
        <row r="52">
          <cell r="B52" t="str">
            <v>Main Panel</v>
          </cell>
        </row>
      </sheetData>
      <sheetData sheetId="4876">
        <row r="52">
          <cell r="B52" t="str">
            <v>Main Panel</v>
          </cell>
        </row>
      </sheetData>
      <sheetData sheetId="4877">
        <row r="52">
          <cell r="B52" t="str">
            <v>Main Panel</v>
          </cell>
        </row>
      </sheetData>
      <sheetData sheetId="4878">
        <row r="52">
          <cell r="B52" t="str">
            <v>Main Panel</v>
          </cell>
        </row>
      </sheetData>
      <sheetData sheetId="4879">
        <row r="52">
          <cell r="B52" t="str">
            <v>Main Panel</v>
          </cell>
        </row>
      </sheetData>
      <sheetData sheetId="4880">
        <row r="52">
          <cell r="B52" t="str">
            <v>Main Panel</v>
          </cell>
        </row>
      </sheetData>
      <sheetData sheetId="4881">
        <row r="52">
          <cell r="B52" t="str">
            <v>Main Panel</v>
          </cell>
        </row>
      </sheetData>
      <sheetData sheetId="4882">
        <row r="52">
          <cell r="B52" t="str">
            <v>Main Panel</v>
          </cell>
        </row>
      </sheetData>
      <sheetData sheetId="4883">
        <row r="52">
          <cell r="B52" t="str">
            <v>Main Panel</v>
          </cell>
        </row>
      </sheetData>
      <sheetData sheetId="4884">
        <row r="52">
          <cell r="B52" t="str">
            <v>Main Panel</v>
          </cell>
        </row>
      </sheetData>
      <sheetData sheetId="4885">
        <row r="52">
          <cell r="B52" t="str">
            <v>Main Panel</v>
          </cell>
        </row>
      </sheetData>
      <sheetData sheetId="4886">
        <row r="52">
          <cell r="B52" t="str">
            <v>Main Panel</v>
          </cell>
        </row>
      </sheetData>
      <sheetData sheetId="4887">
        <row r="52">
          <cell r="B52" t="str">
            <v>Main Panel</v>
          </cell>
        </row>
      </sheetData>
      <sheetData sheetId="4888">
        <row r="52">
          <cell r="B52" t="str">
            <v>Main Panel</v>
          </cell>
        </row>
      </sheetData>
      <sheetData sheetId="4889">
        <row r="52">
          <cell r="B52" t="str">
            <v>Main Panel</v>
          </cell>
        </row>
      </sheetData>
      <sheetData sheetId="4890">
        <row r="52">
          <cell r="B52" t="str">
            <v>Main Panel</v>
          </cell>
        </row>
      </sheetData>
      <sheetData sheetId="4891">
        <row r="52">
          <cell r="B52" t="str">
            <v>Main Panel</v>
          </cell>
        </row>
      </sheetData>
      <sheetData sheetId="4892">
        <row r="52">
          <cell r="B52" t="str">
            <v>Main Panel</v>
          </cell>
        </row>
      </sheetData>
      <sheetData sheetId="4893">
        <row r="52">
          <cell r="B52" t="str">
            <v>Main Panel</v>
          </cell>
        </row>
      </sheetData>
      <sheetData sheetId="4894">
        <row r="52">
          <cell r="B52" t="str">
            <v>Main Panel</v>
          </cell>
        </row>
      </sheetData>
      <sheetData sheetId="4895">
        <row r="52">
          <cell r="B52" t="str">
            <v>Main Panel</v>
          </cell>
        </row>
      </sheetData>
      <sheetData sheetId="4896">
        <row r="52">
          <cell r="B52" t="str">
            <v>Main Panel</v>
          </cell>
        </row>
      </sheetData>
      <sheetData sheetId="4897">
        <row r="52">
          <cell r="B52" t="str">
            <v>Main Panel</v>
          </cell>
        </row>
      </sheetData>
      <sheetData sheetId="4898">
        <row r="52">
          <cell r="B52" t="str">
            <v>Main Panel</v>
          </cell>
        </row>
      </sheetData>
      <sheetData sheetId="4899">
        <row r="52">
          <cell r="B52" t="str">
            <v>Main Panel</v>
          </cell>
        </row>
      </sheetData>
      <sheetData sheetId="4900">
        <row r="52">
          <cell r="B52" t="str">
            <v>Main Panel</v>
          </cell>
        </row>
      </sheetData>
      <sheetData sheetId="4901">
        <row r="52">
          <cell r="B52" t="str">
            <v>Main Panel</v>
          </cell>
        </row>
      </sheetData>
      <sheetData sheetId="4902">
        <row r="52">
          <cell r="B52" t="str">
            <v>Main Panel</v>
          </cell>
        </row>
      </sheetData>
      <sheetData sheetId="4903">
        <row r="52">
          <cell r="B52" t="str">
            <v>Main Panel</v>
          </cell>
        </row>
      </sheetData>
      <sheetData sheetId="4904">
        <row r="52">
          <cell r="B52" t="str">
            <v>Main Panel</v>
          </cell>
        </row>
      </sheetData>
      <sheetData sheetId="4905">
        <row r="52">
          <cell r="B52" t="str">
            <v>Main Panel</v>
          </cell>
        </row>
      </sheetData>
      <sheetData sheetId="4906">
        <row r="52">
          <cell r="B52" t="str">
            <v>Main Panel</v>
          </cell>
        </row>
      </sheetData>
      <sheetData sheetId="4907">
        <row r="52">
          <cell r="B52" t="str">
            <v>Main Panel</v>
          </cell>
        </row>
      </sheetData>
      <sheetData sheetId="4908">
        <row r="52">
          <cell r="B52" t="str">
            <v>Main Panel</v>
          </cell>
        </row>
      </sheetData>
      <sheetData sheetId="4909">
        <row r="52">
          <cell r="B52" t="str">
            <v>Main Panel</v>
          </cell>
        </row>
      </sheetData>
      <sheetData sheetId="4910">
        <row r="52">
          <cell r="B52" t="str">
            <v>Main Panel</v>
          </cell>
        </row>
      </sheetData>
      <sheetData sheetId="4911">
        <row r="52">
          <cell r="B52" t="str">
            <v>Main Panel</v>
          </cell>
        </row>
      </sheetData>
      <sheetData sheetId="4912">
        <row r="52">
          <cell r="B52" t="str">
            <v>Main Panel</v>
          </cell>
        </row>
      </sheetData>
      <sheetData sheetId="4913">
        <row r="52">
          <cell r="B52" t="str">
            <v>Main Panel</v>
          </cell>
        </row>
      </sheetData>
      <sheetData sheetId="4914">
        <row r="52">
          <cell r="B52" t="str">
            <v>Main Panel</v>
          </cell>
        </row>
      </sheetData>
      <sheetData sheetId="4915">
        <row r="52">
          <cell r="B52" t="str">
            <v>Main Panel</v>
          </cell>
        </row>
      </sheetData>
      <sheetData sheetId="4916">
        <row r="52">
          <cell r="B52" t="str">
            <v>Main Panel</v>
          </cell>
        </row>
      </sheetData>
      <sheetData sheetId="4917">
        <row r="52">
          <cell r="B52" t="str">
            <v>Main Panel</v>
          </cell>
        </row>
      </sheetData>
      <sheetData sheetId="4918">
        <row r="52">
          <cell r="B52" t="str">
            <v>Main Panel</v>
          </cell>
        </row>
      </sheetData>
      <sheetData sheetId="4919">
        <row r="52">
          <cell r="B52" t="str">
            <v>Main Panel</v>
          </cell>
        </row>
      </sheetData>
      <sheetData sheetId="4920">
        <row r="52">
          <cell r="B52" t="str">
            <v>Main Panel</v>
          </cell>
        </row>
      </sheetData>
      <sheetData sheetId="4921">
        <row r="52">
          <cell r="B52" t="str">
            <v>Main Panel</v>
          </cell>
        </row>
      </sheetData>
      <sheetData sheetId="4922">
        <row r="52">
          <cell r="B52" t="str">
            <v>Main Panel</v>
          </cell>
        </row>
      </sheetData>
      <sheetData sheetId="4923">
        <row r="52">
          <cell r="B52" t="str">
            <v>Main Panel</v>
          </cell>
        </row>
      </sheetData>
      <sheetData sheetId="4924">
        <row r="52">
          <cell r="B52" t="str">
            <v>Main Panel</v>
          </cell>
        </row>
      </sheetData>
      <sheetData sheetId="4925">
        <row r="52">
          <cell r="B52" t="str">
            <v>Main Panel</v>
          </cell>
        </row>
      </sheetData>
      <sheetData sheetId="4926">
        <row r="52">
          <cell r="B52" t="str">
            <v>Main Panel</v>
          </cell>
        </row>
      </sheetData>
      <sheetData sheetId="4927">
        <row r="52">
          <cell r="B52" t="str">
            <v>Main Panel</v>
          </cell>
        </row>
      </sheetData>
      <sheetData sheetId="4928">
        <row r="52">
          <cell r="B52" t="str">
            <v>Main Panel</v>
          </cell>
        </row>
      </sheetData>
      <sheetData sheetId="4929">
        <row r="52">
          <cell r="B52" t="str">
            <v>Main Panel</v>
          </cell>
        </row>
      </sheetData>
      <sheetData sheetId="4930">
        <row r="52">
          <cell r="B52" t="str">
            <v>Main Panel</v>
          </cell>
        </row>
      </sheetData>
      <sheetData sheetId="4931">
        <row r="52">
          <cell r="B52" t="str">
            <v>Main Panel</v>
          </cell>
        </row>
      </sheetData>
      <sheetData sheetId="4932">
        <row r="52">
          <cell r="B52" t="str">
            <v>Main Panel</v>
          </cell>
        </row>
      </sheetData>
      <sheetData sheetId="4933">
        <row r="52">
          <cell r="B52" t="str">
            <v>Main Panel</v>
          </cell>
        </row>
      </sheetData>
      <sheetData sheetId="4934">
        <row r="52">
          <cell r="B52" t="str">
            <v>Main Panel</v>
          </cell>
        </row>
      </sheetData>
      <sheetData sheetId="4935">
        <row r="52">
          <cell r="B52" t="str">
            <v>Main Panel</v>
          </cell>
        </row>
      </sheetData>
      <sheetData sheetId="4936">
        <row r="52">
          <cell r="B52" t="str">
            <v>Main Panel</v>
          </cell>
        </row>
      </sheetData>
      <sheetData sheetId="4937">
        <row r="52">
          <cell r="B52" t="str">
            <v>Main Panel</v>
          </cell>
        </row>
      </sheetData>
      <sheetData sheetId="4938">
        <row r="52">
          <cell r="B52" t="str">
            <v>Main Panel</v>
          </cell>
        </row>
      </sheetData>
      <sheetData sheetId="4939">
        <row r="52">
          <cell r="B52" t="str">
            <v>Main Panel</v>
          </cell>
        </row>
      </sheetData>
      <sheetData sheetId="4940">
        <row r="52">
          <cell r="B52" t="str">
            <v>Main Panel</v>
          </cell>
        </row>
      </sheetData>
      <sheetData sheetId="4941">
        <row r="52">
          <cell r="B52" t="str">
            <v>Main Panel</v>
          </cell>
        </row>
      </sheetData>
      <sheetData sheetId="4942">
        <row r="52">
          <cell r="B52" t="str">
            <v>Main Panel</v>
          </cell>
        </row>
      </sheetData>
      <sheetData sheetId="4943">
        <row r="52">
          <cell r="B52" t="str">
            <v>Main Panel</v>
          </cell>
        </row>
      </sheetData>
      <sheetData sheetId="4944">
        <row r="52">
          <cell r="B52" t="str">
            <v>Main Panel</v>
          </cell>
        </row>
      </sheetData>
      <sheetData sheetId="4945">
        <row r="52">
          <cell r="B52" t="str">
            <v>Main Panel</v>
          </cell>
        </row>
      </sheetData>
      <sheetData sheetId="4946">
        <row r="52">
          <cell r="B52" t="str">
            <v>Main Panel</v>
          </cell>
        </row>
      </sheetData>
      <sheetData sheetId="4947">
        <row r="52">
          <cell r="B52" t="str">
            <v>Main Panel</v>
          </cell>
        </row>
      </sheetData>
      <sheetData sheetId="4948">
        <row r="52">
          <cell r="B52" t="str">
            <v>Main Panel</v>
          </cell>
        </row>
      </sheetData>
      <sheetData sheetId="4949">
        <row r="52">
          <cell r="B52" t="str">
            <v>Main Panel</v>
          </cell>
        </row>
      </sheetData>
      <sheetData sheetId="4950">
        <row r="52">
          <cell r="B52" t="str">
            <v>Main Panel</v>
          </cell>
        </row>
      </sheetData>
      <sheetData sheetId="4951">
        <row r="52">
          <cell r="B52" t="str">
            <v>Main Panel</v>
          </cell>
        </row>
      </sheetData>
      <sheetData sheetId="4952">
        <row r="52">
          <cell r="B52" t="str">
            <v>Main Panel</v>
          </cell>
        </row>
      </sheetData>
      <sheetData sheetId="4953">
        <row r="52">
          <cell r="B52" t="str">
            <v>Main Panel</v>
          </cell>
        </row>
      </sheetData>
      <sheetData sheetId="4954">
        <row r="52">
          <cell r="B52" t="str">
            <v>Main Panel</v>
          </cell>
        </row>
      </sheetData>
      <sheetData sheetId="4955">
        <row r="52">
          <cell r="B52" t="str">
            <v>Main Panel</v>
          </cell>
        </row>
      </sheetData>
      <sheetData sheetId="4956">
        <row r="52">
          <cell r="B52" t="str">
            <v>Main Panel</v>
          </cell>
        </row>
      </sheetData>
      <sheetData sheetId="4957">
        <row r="52">
          <cell r="B52" t="str">
            <v>Main Panel</v>
          </cell>
        </row>
      </sheetData>
      <sheetData sheetId="4958">
        <row r="52">
          <cell r="B52" t="str">
            <v>Main Panel</v>
          </cell>
        </row>
      </sheetData>
      <sheetData sheetId="4959">
        <row r="52">
          <cell r="B52" t="str">
            <v>Main Panel</v>
          </cell>
        </row>
      </sheetData>
      <sheetData sheetId="4960">
        <row r="52">
          <cell r="B52" t="str">
            <v>Main Panel</v>
          </cell>
        </row>
      </sheetData>
      <sheetData sheetId="4961">
        <row r="52">
          <cell r="B52" t="str">
            <v>Main Panel</v>
          </cell>
        </row>
      </sheetData>
      <sheetData sheetId="4962">
        <row r="52">
          <cell r="B52" t="str">
            <v>Main Panel</v>
          </cell>
        </row>
      </sheetData>
      <sheetData sheetId="4963">
        <row r="52">
          <cell r="B52" t="str">
            <v>Main Panel</v>
          </cell>
        </row>
      </sheetData>
      <sheetData sheetId="4964">
        <row r="52">
          <cell r="B52" t="str">
            <v>Main Panel</v>
          </cell>
        </row>
      </sheetData>
      <sheetData sheetId="4965">
        <row r="52">
          <cell r="B52" t="str">
            <v>Main Panel</v>
          </cell>
        </row>
      </sheetData>
      <sheetData sheetId="4966">
        <row r="52">
          <cell r="B52" t="str">
            <v>Main Panel</v>
          </cell>
        </row>
      </sheetData>
      <sheetData sheetId="4967">
        <row r="52">
          <cell r="B52" t="str">
            <v>Main Panel</v>
          </cell>
        </row>
      </sheetData>
      <sheetData sheetId="4968">
        <row r="52">
          <cell r="B52" t="str">
            <v>Main Panel</v>
          </cell>
        </row>
      </sheetData>
      <sheetData sheetId="4969">
        <row r="52">
          <cell r="B52" t="str">
            <v>Main Panel</v>
          </cell>
        </row>
      </sheetData>
      <sheetData sheetId="4970">
        <row r="52">
          <cell r="B52" t="str">
            <v>Main Panel</v>
          </cell>
        </row>
      </sheetData>
      <sheetData sheetId="4971">
        <row r="52">
          <cell r="B52" t="str">
            <v>Main Panel</v>
          </cell>
        </row>
      </sheetData>
      <sheetData sheetId="4972">
        <row r="52">
          <cell r="B52" t="str">
            <v>Main Panel</v>
          </cell>
        </row>
      </sheetData>
      <sheetData sheetId="4973">
        <row r="52">
          <cell r="B52" t="str">
            <v>Main Panel</v>
          </cell>
        </row>
      </sheetData>
      <sheetData sheetId="4974">
        <row r="52">
          <cell r="B52" t="str">
            <v>Main Panel</v>
          </cell>
        </row>
      </sheetData>
      <sheetData sheetId="4975">
        <row r="52">
          <cell r="B52" t="str">
            <v>Main Panel</v>
          </cell>
        </row>
      </sheetData>
      <sheetData sheetId="4976">
        <row r="52">
          <cell r="B52" t="str">
            <v>Main Panel</v>
          </cell>
        </row>
      </sheetData>
      <sheetData sheetId="4977">
        <row r="52">
          <cell r="B52" t="str">
            <v>Main Panel</v>
          </cell>
        </row>
      </sheetData>
      <sheetData sheetId="4978">
        <row r="52">
          <cell r="B52" t="str">
            <v>Main Panel</v>
          </cell>
        </row>
      </sheetData>
      <sheetData sheetId="4979">
        <row r="52">
          <cell r="B52" t="str">
            <v>Main Panel</v>
          </cell>
        </row>
      </sheetData>
      <sheetData sheetId="4980">
        <row r="52">
          <cell r="B52" t="str">
            <v>Main Panel</v>
          </cell>
        </row>
      </sheetData>
      <sheetData sheetId="4981">
        <row r="52">
          <cell r="B52" t="str">
            <v>Main Panel</v>
          </cell>
        </row>
      </sheetData>
      <sheetData sheetId="4982">
        <row r="52">
          <cell r="B52" t="str">
            <v>Main Panel</v>
          </cell>
        </row>
      </sheetData>
      <sheetData sheetId="4983">
        <row r="52">
          <cell r="B52" t="str">
            <v>Main Panel</v>
          </cell>
        </row>
      </sheetData>
      <sheetData sheetId="4984">
        <row r="52">
          <cell r="B52" t="str">
            <v>Main Panel</v>
          </cell>
        </row>
      </sheetData>
      <sheetData sheetId="4985">
        <row r="52">
          <cell r="B52" t="str">
            <v>Main Panel</v>
          </cell>
        </row>
      </sheetData>
      <sheetData sheetId="4986">
        <row r="52">
          <cell r="B52" t="str">
            <v>Main Panel</v>
          </cell>
        </row>
      </sheetData>
      <sheetData sheetId="4987">
        <row r="52">
          <cell r="B52" t="str">
            <v>Main Panel</v>
          </cell>
        </row>
      </sheetData>
      <sheetData sheetId="4988">
        <row r="52">
          <cell r="B52" t="str">
            <v>Main Panel</v>
          </cell>
        </row>
      </sheetData>
      <sheetData sheetId="4989">
        <row r="52">
          <cell r="B52" t="str">
            <v>Main Panel</v>
          </cell>
        </row>
      </sheetData>
      <sheetData sheetId="4990">
        <row r="52">
          <cell r="B52" t="str">
            <v>Main Panel</v>
          </cell>
        </row>
      </sheetData>
      <sheetData sheetId="4991">
        <row r="52">
          <cell r="B52" t="str">
            <v>Main Panel</v>
          </cell>
        </row>
      </sheetData>
      <sheetData sheetId="4992">
        <row r="52">
          <cell r="B52" t="str">
            <v>Main Panel</v>
          </cell>
        </row>
      </sheetData>
      <sheetData sheetId="4993">
        <row r="52">
          <cell r="B52" t="str">
            <v>Main Panel</v>
          </cell>
        </row>
      </sheetData>
      <sheetData sheetId="4994">
        <row r="52">
          <cell r="B52" t="str">
            <v>Main Panel</v>
          </cell>
        </row>
      </sheetData>
      <sheetData sheetId="4995">
        <row r="52">
          <cell r="B52" t="str">
            <v>Main Panel</v>
          </cell>
        </row>
      </sheetData>
      <sheetData sheetId="4996">
        <row r="52">
          <cell r="B52" t="str">
            <v>Main Panel</v>
          </cell>
        </row>
      </sheetData>
      <sheetData sheetId="4997">
        <row r="52">
          <cell r="B52" t="str">
            <v>Main Panel</v>
          </cell>
        </row>
      </sheetData>
      <sheetData sheetId="4998">
        <row r="52">
          <cell r="B52" t="str">
            <v>Main Panel</v>
          </cell>
        </row>
      </sheetData>
      <sheetData sheetId="4999">
        <row r="52">
          <cell r="B52" t="str">
            <v>Main Panel</v>
          </cell>
        </row>
      </sheetData>
      <sheetData sheetId="5000">
        <row r="52">
          <cell r="B52" t="str">
            <v>Main Panel</v>
          </cell>
        </row>
      </sheetData>
      <sheetData sheetId="5001">
        <row r="52">
          <cell r="B52" t="str">
            <v>Main Panel</v>
          </cell>
        </row>
      </sheetData>
      <sheetData sheetId="5002">
        <row r="52">
          <cell r="B52" t="str">
            <v>Main Panel</v>
          </cell>
        </row>
      </sheetData>
      <sheetData sheetId="5003">
        <row r="52">
          <cell r="B52" t="str">
            <v>Main Panel</v>
          </cell>
        </row>
      </sheetData>
      <sheetData sheetId="5004">
        <row r="52">
          <cell r="B52" t="str">
            <v>Main Panel</v>
          </cell>
        </row>
      </sheetData>
      <sheetData sheetId="5005">
        <row r="52">
          <cell r="B52" t="str">
            <v>Main Panel</v>
          </cell>
        </row>
      </sheetData>
      <sheetData sheetId="5006">
        <row r="52">
          <cell r="B52" t="str">
            <v>Main Panel</v>
          </cell>
        </row>
      </sheetData>
      <sheetData sheetId="5007">
        <row r="52">
          <cell r="B52" t="str">
            <v>Main Panel</v>
          </cell>
        </row>
      </sheetData>
      <sheetData sheetId="5008">
        <row r="52">
          <cell r="B52" t="str">
            <v>Main Panel</v>
          </cell>
        </row>
      </sheetData>
      <sheetData sheetId="5009">
        <row r="52">
          <cell r="B52" t="str">
            <v>Main Panel</v>
          </cell>
        </row>
      </sheetData>
      <sheetData sheetId="5010">
        <row r="52">
          <cell r="B52" t="str">
            <v>Main Panel</v>
          </cell>
        </row>
      </sheetData>
      <sheetData sheetId="5011">
        <row r="52">
          <cell r="B52" t="str">
            <v>Main Panel</v>
          </cell>
        </row>
      </sheetData>
      <sheetData sheetId="5012">
        <row r="52">
          <cell r="B52" t="str">
            <v>Main Panel</v>
          </cell>
        </row>
      </sheetData>
      <sheetData sheetId="5013">
        <row r="52">
          <cell r="B52" t="str">
            <v>Main Panel</v>
          </cell>
        </row>
      </sheetData>
      <sheetData sheetId="5014">
        <row r="52">
          <cell r="B52" t="str">
            <v>Main Panel</v>
          </cell>
        </row>
      </sheetData>
      <sheetData sheetId="5015">
        <row r="52">
          <cell r="B52" t="str">
            <v>Main Panel</v>
          </cell>
        </row>
      </sheetData>
      <sheetData sheetId="5016">
        <row r="52">
          <cell r="B52" t="str">
            <v>Main Panel</v>
          </cell>
        </row>
      </sheetData>
      <sheetData sheetId="5017">
        <row r="52">
          <cell r="B52" t="str">
            <v>Main Panel</v>
          </cell>
        </row>
      </sheetData>
      <sheetData sheetId="5018">
        <row r="52">
          <cell r="B52" t="str">
            <v>Main Panel</v>
          </cell>
        </row>
      </sheetData>
      <sheetData sheetId="5019">
        <row r="52">
          <cell r="B52" t="str">
            <v>Main Panel</v>
          </cell>
        </row>
      </sheetData>
      <sheetData sheetId="5020">
        <row r="52">
          <cell r="B52" t="str">
            <v>Main Panel</v>
          </cell>
        </row>
      </sheetData>
      <sheetData sheetId="5021">
        <row r="52">
          <cell r="B52" t="str">
            <v>Main Panel</v>
          </cell>
        </row>
      </sheetData>
      <sheetData sheetId="5022">
        <row r="52">
          <cell r="B52" t="str">
            <v>Main Panel</v>
          </cell>
        </row>
      </sheetData>
      <sheetData sheetId="5023">
        <row r="52">
          <cell r="B52" t="str">
            <v>Main Panel</v>
          </cell>
        </row>
      </sheetData>
      <sheetData sheetId="5024">
        <row r="52">
          <cell r="B52" t="str">
            <v>Main Panel</v>
          </cell>
        </row>
      </sheetData>
      <sheetData sheetId="5025">
        <row r="52">
          <cell r="B52" t="str">
            <v>Main Panel</v>
          </cell>
        </row>
      </sheetData>
      <sheetData sheetId="5026">
        <row r="52">
          <cell r="B52" t="str">
            <v>Main Panel</v>
          </cell>
        </row>
      </sheetData>
      <sheetData sheetId="5027">
        <row r="52">
          <cell r="B52" t="str">
            <v>Main Panel</v>
          </cell>
        </row>
      </sheetData>
      <sheetData sheetId="5028">
        <row r="52">
          <cell r="B52" t="str">
            <v>Main Panel</v>
          </cell>
        </row>
      </sheetData>
      <sheetData sheetId="5029">
        <row r="52">
          <cell r="B52" t="str">
            <v>Main Panel</v>
          </cell>
        </row>
      </sheetData>
      <sheetData sheetId="5030">
        <row r="52">
          <cell r="B52" t="str">
            <v>Main Panel</v>
          </cell>
        </row>
      </sheetData>
      <sheetData sheetId="5031">
        <row r="52">
          <cell r="B52" t="str">
            <v>Main Panel</v>
          </cell>
        </row>
      </sheetData>
      <sheetData sheetId="5032">
        <row r="52">
          <cell r="B52" t="str">
            <v>Main Panel</v>
          </cell>
        </row>
      </sheetData>
      <sheetData sheetId="5033">
        <row r="52">
          <cell r="B52" t="str">
            <v>Main Panel</v>
          </cell>
        </row>
      </sheetData>
      <sheetData sheetId="5034">
        <row r="52">
          <cell r="B52" t="str">
            <v>Main Panel</v>
          </cell>
        </row>
      </sheetData>
      <sheetData sheetId="5035">
        <row r="52">
          <cell r="B52" t="str">
            <v>Main Panel</v>
          </cell>
        </row>
      </sheetData>
      <sheetData sheetId="5036">
        <row r="52">
          <cell r="B52" t="str">
            <v>Main Panel</v>
          </cell>
        </row>
      </sheetData>
      <sheetData sheetId="5037">
        <row r="52">
          <cell r="B52" t="str">
            <v>Main Panel</v>
          </cell>
        </row>
      </sheetData>
      <sheetData sheetId="5038">
        <row r="52">
          <cell r="B52" t="str">
            <v>Main Panel</v>
          </cell>
        </row>
      </sheetData>
      <sheetData sheetId="5039">
        <row r="52">
          <cell r="B52" t="str">
            <v>Main Panel</v>
          </cell>
        </row>
      </sheetData>
      <sheetData sheetId="5040">
        <row r="52">
          <cell r="B52" t="str">
            <v>Main Panel</v>
          </cell>
        </row>
      </sheetData>
      <sheetData sheetId="5041">
        <row r="52">
          <cell r="B52" t="str">
            <v>Main Panel</v>
          </cell>
        </row>
      </sheetData>
      <sheetData sheetId="5042">
        <row r="52">
          <cell r="B52" t="str">
            <v>Main Panel</v>
          </cell>
        </row>
      </sheetData>
      <sheetData sheetId="5043">
        <row r="52">
          <cell r="B52" t="str">
            <v>Main Panel</v>
          </cell>
        </row>
      </sheetData>
      <sheetData sheetId="5044">
        <row r="52">
          <cell r="B52" t="str">
            <v>Main Panel</v>
          </cell>
        </row>
      </sheetData>
      <sheetData sheetId="5045">
        <row r="52">
          <cell r="B52" t="str">
            <v>Main Panel</v>
          </cell>
        </row>
      </sheetData>
      <sheetData sheetId="5046">
        <row r="52">
          <cell r="B52" t="str">
            <v>Main Panel</v>
          </cell>
        </row>
      </sheetData>
      <sheetData sheetId="5047">
        <row r="52">
          <cell r="B52" t="str">
            <v>Main Panel</v>
          </cell>
        </row>
      </sheetData>
      <sheetData sheetId="5048">
        <row r="52">
          <cell r="B52" t="str">
            <v>Main Panel</v>
          </cell>
        </row>
      </sheetData>
      <sheetData sheetId="5049">
        <row r="52">
          <cell r="B52" t="str">
            <v>Main Panel</v>
          </cell>
        </row>
      </sheetData>
      <sheetData sheetId="5050">
        <row r="52">
          <cell r="B52" t="str">
            <v>Main Panel</v>
          </cell>
        </row>
      </sheetData>
      <sheetData sheetId="5051">
        <row r="52">
          <cell r="B52" t="str">
            <v>Main Panel</v>
          </cell>
        </row>
      </sheetData>
      <sheetData sheetId="5052">
        <row r="52">
          <cell r="B52" t="str">
            <v>Main Panel</v>
          </cell>
        </row>
      </sheetData>
      <sheetData sheetId="5053">
        <row r="52">
          <cell r="B52" t="str">
            <v>Main Panel</v>
          </cell>
        </row>
      </sheetData>
      <sheetData sheetId="5054">
        <row r="52">
          <cell r="B52" t="str">
            <v>Main Panel</v>
          </cell>
        </row>
      </sheetData>
      <sheetData sheetId="5055">
        <row r="52">
          <cell r="B52" t="str">
            <v>Main Panel</v>
          </cell>
        </row>
      </sheetData>
      <sheetData sheetId="5056">
        <row r="52">
          <cell r="B52" t="str">
            <v>Main Panel</v>
          </cell>
        </row>
      </sheetData>
      <sheetData sheetId="5057">
        <row r="52">
          <cell r="B52" t="str">
            <v>Main Panel</v>
          </cell>
        </row>
      </sheetData>
      <sheetData sheetId="5058">
        <row r="52">
          <cell r="B52" t="str">
            <v>Main Panel</v>
          </cell>
        </row>
      </sheetData>
      <sheetData sheetId="5059">
        <row r="52">
          <cell r="B52" t="str">
            <v>Main Panel</v>
          </cell>
        </row>
      </sheetData>
      <sheetData sheetId="5060">
        <row r="52">
          <cell r="B52" t="str">
            <v>Main Panel</v>
          </cell>
        </row>
      </sheetData>
      <sheetData sheetId="5061">
        <row r="52">
          <cell r="B52" t="str">
            <v>Main Panel</v>
          </cell>
        </row>
      </sheetData>
      <sheetData sheetId="5062">
        <row r="52">
          <cell r="B52" t="str">
            <v>Main Panel</v>
          </cell>
        </row>
      </sheetData>
      <sheetData sheetId="5063">
        <row r="52">
          <cell r="B52" t="str">
            <v>Main Panel</v>
          </cell>
        </row>
      </sheetData>
      <sheetData sheetId="5064">
        <row r="52">
          <cell r="B52" t="str">
            <v>Main Panel</v>
          </cell>
        </row>
      </sheetData>
      <sheetData sheetId="5065">
        <row r="52">
          <cell r="B52" t="str">
            <v>Main Panel</v>
          </cell>
        </row>
      </sheetData>
      <sheetData sheetId="5066">
        <row r="52">
          <cell r="B52" t="str">
            <v>Main Panel</v>
          </cell>
        </row>
      </sheetData>
      <sheetData sheetId="5067">
        <row r="52">
          <cell r="B52" t="str">
            <v>Main Panel</v>
          </cell>
        </row>
      </sheetData>
      <sheetData sheetId="5068">
        <row r="52">
          <cell r="B52" t="str">
            <v>Main Panel</v>
          </cell>
        </row>
      </sheetData>
      <sheetData sheetId="5069">
        <row r="52">
          <cell r="B52" t="str">
            <v>Main Panel</v>
          </cell>
        </row>
      </sheetData>
      <sheetData sheetId="5070">
        <row r="52">
          <cell r="B52" t="str">
            <v>Main Panel</v>
          </cell>
        </row>
      </sheetData>
      <sheetData sheetId="5071">
        <row r="52">
          <cell r="B52" t="str">
            <v>Main Panel</v>
          </cell>
        </row>
      </sheetData>
      <sheetData sheetId="5072">
        <row r="52">
          <cell r="B52" t="str">
            <v>Main Panel</v>
          </cell>
        </row>
      </sheetData>
      <sheetData sheetId="5073">
        <row r="52">
          <cell r="B52" t="str">
            <v>Main Panel</v>
          </cell>
        </row>
      </sheetData>
      <sheetData sheetId="5074">
        <row r="52">
          <cell r="B52" t="str">
            <v>Main Panel</v>
          </cell>
        </row>
      </sheetData>
      <sheetData sheetId="5075">
        <row r="52">
          <cell r="B52" t="str">
            <v>Main Panel</v>
          </cell>
        </row>
      </sheetData>
      <sheetData sheetId="5076">
        <row r="52">
          <cell r="B52" t="str">
            <v>Main Panel</v>
          </cell>
        </row>
      </sheetData>
      <sheetData sheetId="5077">
        <row r="52">
          <cell r="B52" t="str">
            <v>Main Panel</v>
          </cell>
        </row>
      </sheetData>
      <sheetData sheetId="5078">
        <row r="52">
          <cell r="B52" t="str">
            <v>Main Panel</v>
          </cell>
        </row>
      </sheetData>
      <sheetData sheetId="5079">
        <row r="52">
          <cell r="B52" t="str">
            <v>Main Panel</v>
          </cell>
        </row>
      </sheetData>
      <sheetData sheetId="5080">
        <row r="52">
          <cell r="B52" t="str">
            <v>Main Panel</v>
          </cell>
        </row>
      </sheetData>
      <sheetData sheetId="5081">
        <row r="52">
          <cell r="B52" t="str">
            <v>Main Panel</v>
          </cell>
        </row>
      </sheetData>
      <sheetData sheetId="5082">
        <row r="52">
          <cell r="B52" t="str">
            <v>Main Panel</v>
          </cell>
        </row>
      </sheetData>
      <sheetData sheetId="5083">
        <row r="52">
          <cell r="B52" t="str">
            <v>Main Panel</v>
          </cell>
        </row>
      </sheetData>
      <sheetData sheetId="5084">
        <row r="52">
          <cell r="B52" t="str">
            <v>Main Panel</v>
          </cell>
        </row>
      </sheetData>
      <sheetData sheetId="5085">
        <row r="52">
          <cell r="B52" t="str">
            <v>Main Panel</v>
          </cell>
        </row>
      </sheetData>
      <sheetData sheetId="5086">
        <row r="52">
          <cell r="B52" t="str">
            <v>Main Panel</v>
          </cell>
        </row>
      </sheetData>
      <sheetData sheetId="5087">
        <row r="52">
          <cell r="B52" t="str">
            <v>Main Panel</v>
          </cell>
        </row>
      </sheetData>
      <sheetData sheetId="5088">
        <row r="52">
          <cell r="B52" t="str">
            <v>Main Panel</v>
          </cell>
        </row>
      </sheetData>
      <sheetData sheetId="5089">
        <row r="52">
          <cell r="B52" t="str">
            <v>Main Panel</v>
          </cell>
        </row>
      </sheetData>
      <sheetData sheetId="5090">
        <row r="52">
          <cell r="B52" t="str">
            <v>Main Panel</v>
          </cell>
        </row>
      </sheetData>
      <sheetData sheetId="5091">
        <row r="52">
          <cell r="B52" t="str">
            <v>Main Panel</v>
          </cell>
        </row>
      </sheetData>
      <sheetData sheetId="5092">
        <row r="52">
          <cell r="B52" t="str">
            <v>Main Panel</v>
          </cell>
        </row>
      </sheetData>
      <sheetData sheetId="5093">
        <row r="52">
          <cell r="B52" t="str">
            <v>Main Panel</v>
          </cell>
        </row>
      </sheetData>
      <sheetData sheetId="5094">
        <row r="52">
          <cell r="B52" t="str">
            <v>Main Panel</v>
          </cell>
        </row>
      </sheetData>
      <sheetData sheetId="5095">
        <row r="52">
          <cell r="B52" t="str">
            <v>Main Panel</v>
          </cell>
        </row>
      </sheetData>
      <sheetData sheetId="5096">
        <row r="52">
          <cell r="B52" t="str">
            <v>Main Panel</v>
          </cell>
        </row>
      </sheetData>
      <sheetData sheetId="5097">
        <row r="52">
          <cell r="B52" t="str">
            <v>Main Panel</v>
          </cell>
        </row>
      </sheetData>
      <sheetData sheetId="5098">
        <row r="52">
          <cell r="B52" t="str">
            <v>Main Panel</v>
          </cell>
        </row>
      </sheetData>
      <sheetData sheetId="5099">
        <row r="52">
          <cell r="B52" t="str">
            <v>Main Panel</v>
          </cell>
        </row>
      </sheetData>
      <sheetData sheetId="5100">
        <row r="52">
          <cell r="B52" t="str">
            <v>Main Panel</v>
          </cell>
        </row>
      </sheetData>
      <sheetData sheetId="5101">
        <row r="52">
          <cell r="B52" t="str">
            <v>Main Panel</v>
          </cell>
        </row>
      </sheetData>
      <sheetData sheetId="5102">
        <row r="52">
          <cell r="B52" t="str">
            <v>Main Panel</v>
          </cell>
        </row>
      </sheetData>
      <sheetData sheetId="5103">
        <row r="52">
          <cell r="B52" t="str">
            <v>Main Panel</v>
          </cell>
        </row>
      </sheetData>
      <sheetData sheetId="5104">
        <row r="52">
          <cell r="B52" t="str">
            <v>Main Panel</v>
          </cell>
        </row>
      </sheetData>
      <sheetData sheetId="5105">
        <row r="52">
          <cell r="B52" t="str">
            <v>Main Panel</v>
          </cell>
        </row>
      </sheetData>
      <sheetData sheetId="5106">
        <row r="52">
          <cell r="B52" t="str">
            <v>Main Panel</v>
          </cell>
        </row>
      </sheetData>
      <sheetData sheetId="5107">
        <row r="52">
          <cell r="B52" t="str">
            <v>Main Panel</v>
          </cell>
        </row>
      </sheetData>
      <sheetData sheetId="5108">
        <row r="52">
          <cell r="B52" t="str">
            <v>Main Panel</v>
          </cell>
        </row>
      </sheetData>
      <sheetData sheetId="5109">
        <row r="52">
          <cell r="B52" t="str">
            <v>Main Panel</v>
          </cell>
        </row>
      </sheetData>
      <sheetData sheetId="5110">
        <row r="52">
          <cell r="B52" t="str">
            <v>Main Panel</v>
          </cell>
        </row>
      </sheetData>
      <sheetData sheetId="5111">
        <row r="52">
          <cell r="B52" t="str">
            <v>Main Panel</v>
          </cell>
        </row>
      </sheetData>
      <sheetData sheetId="5112">
        <row r="52">
          <cell r="B52" t="str">
            <v>Main Panel</v>
          </cell>
        </row>
      </sheetData>
      <sheetData sheetId="5113">
        <row r="52">
          <cell r="B52" t="str">
            <v>Main Panel</v>
          </cell>
        </row>
      </sheetData>
      <sheetData sheetId="5114">
        <row r="52">
          <cell r="B52" t="str">
            <v>Main Panel</v>
          </cell>
        </row>
      </sheetData>
      <sheetData sheetId="5115">
        <row r="52">
          <cell r="B52" t="str">
            <v>Main Panel</v>
          </cell>
        </row>
      </sheetData>
      <sheetData sheetId="5116">
        <row r="52">
          <cell r="B52" t="str">
            <v>Main Panel</v>
          </cell>
        </row>
      </sheetData>
      <sheetData sheetId="5117">
        <row r="52">
          <cell r="B52" t="str">
            <v>Main Panel</v>
          </cell>
        </row>
      </sheetData>
      <sheetData sheetId="5118">
        <row r="52">
          <cell r="B52" t="str">
            <v>Main Panel</v>
          </cell>
        </row>
      </sheetData>
      <sheetData sheetId="5119">
        <row r="52">
          <cell r="B52" t="str">
            <v>Main Panel</v>
          </cell>
        </row>
      </sheetData>
      <sheetData sheetId="5120">
        <row r="52">
          <cell r="B52" t="str">
            <v>Main Panel</v>
          </cell>
        </row>
      </sheetData>
      <sheetData sheetId="5121">
        <row r="52">
          <cell r="B52" t="str">
            <v>Main Panel</v>
          </cell>
        </row>
      </sheetData>
      <sheetData sheetId="5122">
        <row r="52">
          <cell r="B52" t="str">
            <v>Main Panel</v>
          </cell>
        </row>
      </sheetData>
      <sheetData sheetId="5123">
        <row r="52">
          <cell r="B52" t="str">
            <v>Main Panel</v>
          </cell>
        </row>
      </sheetData>
      <sheetData sheetId="5124">
        <row r="52">
          <cell r="B52" t="str">
            <v>Main Panel</v>
          </cell>
        </row>
      </sheetData>
      <sheetData sheetId="5125">
        <row r="52">
          <cell r="B52" t="str">
            <v>Main Panel</v>
          </cell>
        </row>
      </sheetData>
      <sheetData sheetId="5126">
        <row r="52">
          <cell r="B52" t="str">
            <v>Main Panel</v>
          </cell>
        </row>
      </sheetData>
      <sheetData sheetId="5127">
        <row r="52">
          <cell r="B52" t="str">
            <v>Main Panel</v>
          </cell>
        </row>
      </sheetData>
      <sheetData sheetId="5128">
        <row r="52">
          <cell r="B52" t="str">
            <v>Main Panel</v>
          </cell>
        </row>
      </sheetData>
      <sheetData sheetId="5129">
        <row r="52">
          <cell r="B52" t="str">
            <v>Main Panel</v>
          </cell>
        </row>
      </sheetData>
      <sheetData sheetId="5130">
        <row r="52">
          <cell r="B52" t="str">
            <v>Main Panel</v>
          </cell>
        </row>
      </sheetData>
      <sheetData sheetId="5131">
        <row r="52">
          <cell r="B52" t="str">
            <v>Main Panel</v>
          </cell>
        </row>
      </sheetData>
      <sheetData sheetId="5132">
        <row r="52">
          <cell r="B52" t="str">
            <v>Main Panel</v>
          </cell>
        </row>
      </sheetData>
      <sheetData sheetId="5133">
        <row r="52">
          <cell r="B52" t="str">
            <v>Main Panel</v>
          </cell>
        </row>
      </sheetData>
      <sheetData sheetId="5134">
        <row r="52">
          <cell r="B52" t="str">
            <v>Main Panel</v>
          </cell>
        </row>
      </sheetData>
      <sheetData sheetId="5135">
        <row r="52">
          <cell r="B52" t="str">
            <v>Main Panel</v>
          </cell>
        </row>
      </sheetData>
      <sheetData sheetId="5136">
        <row r="52">
          <cell r="B52" t="str">
            <v>Main Panel</v>
          </cell>
        </row>
      </sheetData>
      <sheetData sheetId="5137">
        <row r="52">
          <cell r="B52" t="str">
            <v>Main Panel</v>
          </cell>
        </row>
      </sheetData>
      <sheetData sheetId="5138">
        <row r="52">
          <cell r="B52" t="str">
            <v>Main Panel</v>
          </cell>
        </row>
      </sheetData>
      <sheetData sheetId="5139">
        <row r="52">
          <cell r="B52" t="str">
            <v>Main Panel</v>
          </cell>
        </row>
      </sheetData>
      <sheetData sheetId="5140">
        <row r="52">
          <cell r="B52" t="str">
            <v>Main Panel</v>
          </cell>
        </row>
      </sheetData>
      <sheetData sheetId="5141">
        <row r="52">
          <cell r="B52" t="str">
            <v>Main Panel</v>
          </cell>
        </row>
      </sheetData>
      <sheetData sheetId="5142">
        <row r="52">
          <cell r="B52" t="str">
            <v>Main Panel</v>
          </cell>
        </row>
      </sheetData>
      <sheetData sheetId="5143">
        <row r="52">
          <cell r="B52" t="str">
            <v>Main Panel</v>
          </cell>
        </row>
      </sheetData>
      <sheetData sheetId="5144">
        <row r="52">
          <cell r="B52" t="str">
            <v>Main Panel</v>
          </cell>
        </row>
      </sheetData>
      <sheetData sheetId="5145">
        <row r="52">
          <cell r="B52" t="str">
            <v>Main Panel</v>
          </cell>
        </row>
      </sheetData>
      <sheetData sheetId="5146">
        <row r="52">
          <cell r="B52" t="str">
            <v>Main Panel</v>
          </cell>
        </row>
      </sheetData>
      <sheetData sheetId="5147">
        <row r="52">
          <cell r="B52" t="str">
            <v>Main Panel</v>
          </cell>
        </row>
      </sheetData>
      <sheetData sheetId="5148">
        <row r="52">
          <cell r="B52" t="str">
            <v>Main Panel</v>
          </cell>
        </row>
      </sheetData>
      <sheetData sheetId="5149">
        <row r="52">
          <cell r="B52" t="str">
            <v>Main Panel</v>
          </cell>
        </row>
      </sheetData>
      <sheetData sheetId="5150">
        <row r="52">
          <cell r="B52" t="str">
            <v>Main Panel</v>
          </cell>
        </row>
      </sheetData>
      <sheetData sheetId="5151">
        <row r="52">
          <cell r="B52" t="str">
            <v>Main Panel</v>
          </cell>
        </row>
      </sheetData>
      <sheetData sheetId="5152">
        <row r="52">
          <cell r="B52" t="str">
            <v>Main Panel</v>
          </cell>
        </row>
      </sheetData>
      <sheetData sheetId="5153">
        <row r="52">
          <cell r="B52" t="str">
            <v>Main Panel</v>
          </cell>
        </row>
      </sheetData>
      <sheetData sheetId="5154">
        <row r="52">
          <cell r="B52" t="str">
            <v>Main Panel</v>
          </cell>
        </row>
      </sheetData>
      <sheetData sheetId="5155">
        <row r="52">
          <cell r="B52" t="str">
            <v>Main Panel</v>
          </cell>
        </row>
      </sheetData>
      <sheetData sheetId="5156">
        <row r="52">
          <cell r="B52" t="str">
            <v>Main Panel</v>
          </cell>
        </row>
      </sheetData>
      <sheetData sheetId="5157">
        <row r="52">
          <cell r="B52" t="str">
            <v>Main Panel</v>
          </cell>
        </row>
      </sheetData>
      <sheetData sheetId="5158">
        <row r="52">
          <cell r="B52" t="str">
            <v>Main Panel</v>
          </cell>
        </row>
      </sheetData>
      <sheetData sheetId="5159">
        <row r="52">
          <cell r="B52" t="str">
            <v>Main Panel</v>
          </cell>
        </row>
      </sheetData>
      <sheetData sheetId="5160">
        <row r="52">
          <cell r="B52" t="str">
            <v>Main Panel</v>
          </cell>
        </row>
      </sheetData>
      <sheetData sheetId="5161">
        <row r="52">
          <cell r="B52" t="str">
            <v>Main Panel</v>
          </cell>
        </row>
      </sheetData>
      <sheetData sheetId="5162">
        <row r="52">
          <cell r="B52" t="str">
            <v>Main Panel</v>
          </cell>
        </row>
      </sheetData>
      <sheetData sheetId="5163">
        <row r="52">
          <cell r="B52" t="str">
            <v>Main Panel</v>
          </cell>
        </row>
      </sheetData>
      <sheetData sheetId="5164">
        <row r="52">
          <cell r="B52" t="str">
            <v>Main Panel</v>
          </cell>
        </row>
      </sheetData>
      <sheetData sheetId="5165">
        <row r="52">
          <cell r="B52" t="str">
            <v>Main Panel</v>
          </cell>
        </row>
      </sheetData>
      <sheetData sheetId="5166">
        <row r="52">
          <cell r="B52" t="str">
            <v>Main Panel</v>
          </cell>
        </row>
      </sheetData>
      <sheetData sheetId="5167">
        <row r="52">
          <cell r="B52" t="str">
            <v>Main Panel</v>
          </cell>
        </row>
      </sheetData>
      <sheetData sheetId="5168">
        <row r="52">
          <cell r="B52" t="str">
            <v>Main Panel</v>
          </cell>
        </row>
      </sheetData>
      <sheetData sheetId="5169">
        <row r="52">
          <cell r="B52" t="str">
            <v>Main Panel</v>
          </cell>
        </row>
      </sheetData>
      <sheetData sheetId="5170">
        <row r="52">
          <cell r="B52" t="str">
            <v>Main Panel</v>
          </cell>
        </row>
      </sheetData>
      <sheetData sheetId="5171">
        <row r="52">
          <cell r="B52" t="str">
            <v>Main Panel</v>
          </cell>
        </row>
      </sheetData>
      <sheetData sheetId="5172">
        <row r="52">
          <cell r="B52" t="str">
            <v>Main Panel</v>
          </cell>
        </row>
      </sheetData>
      <sheetData sheetId="5173">
        <row r="52">
          <cell r="B52" t="str">
            <v>Main Panel</v>
          </cell>
        </row>
      </sheetData>
      <sheetData sheetId="5174">
        <row r="52">
          <cell r="B52" t="str">
            <v>Main Panel</v>
          </cell>
        </row>
      </sheetData>
      <sheetData sheetId="5175">
        <row r="52">
          <cell r="B52" t="str">
            <v>Main Panel</v>
          </cell>
        </row>
      </sheetData>
      <sheetData sheetId="5176">
        <row r="52">
          <cell r="B52" t="str">
            <v>Main Panel</v>
          </cell>
        </row>
      </sheetData>
      <sheetData sheetId="5177">
        <row r="52">
          <cell r="B52" t="str">
            <v>Main Panel</v>
          </cell>
        </row>
      </sheetData>
      <sheetData sheetId="5178">
        <row r="52">
          <cell r="B52" t="str">
            <v>Main Panel</v>
          </cell>
        </row>
      </sheetData>
      <sheetData sheetId="5179">
        <row r="52">
          <cell r="B52" t="str">
            <v>Main Panel</v>
          </cell>
        </row>
      </sheetData>
      <sheetData sheetId="5180">
        <row r="52">
          <cell r="B52" t="str">
            <v>Main Panel</v>
          </cell>
        </row>
      </sheetData>
      <sheetData sheetId="5181">
        <row r="52">
          <cell r="B52" t="str">
            <v>Main Panel</v>
          </cell>
        </row>
      </sheetData>
      <sheetData sheetId="5182">
        <row r="52">
          <cell r="B52" t="str">
            <v>Main Panel</v>
          </cell>
        </row>
      </sheetData>
      <sheetData sheetId="5183">
        <row r="52">
          <cell r="B52" t="str">
            <v>Main Panel</v>
          </cell>
        </row>
      </sheetData>
      <sheetData sheetId="5184">
        <row r="52">
          <cell r="B52" t="str">
            <v>Main Panel</v>
          </cell>
        </row>
      </sheetData>
      <sheetData sheetId="5185">
        <row r="52">
          <cell r="B52" t="str">
            <v>Main Panel</v>
          </cell>
        </row>
      </sheetData>
      <sheetData sheetId="5186">
        <row r="52">
          <cell r="B52" t="str">
            <v>Main Panel</v>
          </cell>
        </row>
      </sheetData>
      <sheetData sheetId="5187">
        <row r="52">
          <cell r="B52" t="str">
            <v>Main Panel</v>
          </cell>
        </row>
      </sheetData>
      <sheetData sheetId="5188">
        <row r="52">
          <cell r="B52" t="str">
            <v>Main Panel</v>
          </cell>
        </row>
      </sheetData>
      <sheetData sheetId="5189">
        <row r="52">
          <cell r="B52" t="str">
            <v>Main Panel</v>
          </cell>
        </row>
      </sheetData>
      <sheetData sheetId="5190">
        <row r="52">
          <cell r="B52" t="str">
            <v>Main Panel</v>
          </cell>
        </row>
      </sheetData>
      <sheetData sheetId="5191">
        <row r="52">
          <cell r="B52" t="str">
            <v>Main Panel</v>
          </cell>
        </row>
      </sheetData>
      <sheetData sheetId="5192">
        <row r="52">
          <cell r="B52" t="str">
            <v>Main Panel</v>
          </cell>
        </row>
      </sheetData>
      <sheetData sheetId="5193">
        <row r="52">
          <cell r="B52" t="str">
            <v>Main Panel</v>
          </cell>
        </row>
      </sheetData>
      <sheetData sheetId="5194">
        <row r="52">
          <cell r="B52" t="str">
            <v>Main Panel</v>
          </cell>
        </row>
      </sheetData>
      <sheetData sheetId="5195">
        <row r="52">
          <cell r="B52" t="str">
            <v>Main Panel</v>
          </cell>
        </row>
      </sheetData>
      <sheetData sheetId="5196">
        <row r="52">
          <cell r="B52" t="str">
            <v>Main Panel</v>
          </cell>
        </row>
      </sheetData>
      <sheetData sheetId="5197">
        <row r="52">
          <cell r="B52" t="str">
            <v>Main Panel</v>
          </cell>
        </row>
      </sheetData>
      <sheetData sheetId="5198">
        <row r="52">
          <cell r="B52" t="str">
            <v>Main Panel</v>
          </cell>
        </row>
      </sheetData>
      <sheetData sheetId="5199">
        <row r="52">
          <cell r="B52" t="str">
            <v>Main Panel</v>
          </cell>
        </row>
      </sheetData>
      <sheetData sheetId="5200">
        <row r="52">
          <cell r="B52" t="str">
            <v>Main Panel</v>
          </cell>
        </row>
      </sheetData>
      <sheetData sheetId="5201">
        <row r="52">
          <cell r="B52" t="str">
            <v>Main Panel</v>
          </cell>
        </row>
      </sheetData>
      <sheetData sheetId="5202">
        <row r="52">
          <cell r="B52" t="str">
            <v>Main Panel</v>
          </cell>
        </row>
      </sheetData>
      <sheetData sheetId="5203">
        <row r="52">
          <cell r="B52" t="str">
            <v>Main Panel</v>
          </cell>
        </row>
      </sheetData>
      <sheetData sheetId="5204">
        <row r="52">
          <cell r="B52" t="str">
            <v>Main Panel</v>
          </cell>
        </row>
      </sheetData>
      <sheetData sheetId="5205">
        <row r="52">
          <cell r="B52" t="str">
            <v>Main Panel</v>
          </cell>
        </row>
      </sheetData>
      <sheetData sheetId="5206">
        <row r="52">
          <cell r="B52" t="str">
            <v>Main Panel</v>
          </cell>
        </row>
      </sheetData>
      <sheetData sheetId="5207">
        <row r="52">
          <cell r="B52" t="str">
            <v>Main Panel</v>
          </cell>
        </row>
      </sheetData>
      <sheetData sheetId="5208">
        <row r="52">
          <cell r="B52" t="str">
            <v>Main Panel</v>
          </cell>
        </row>
      </sheetData>
      <sheetData sheetId="5209">
        <row r="52">
          <cell r="B52" t="str">
            <v>Main Panel</v>
          </cell>
        </row>
      </sheetData>
      <sheetData sheetId="5210">
        <row r="52">
          <cell r="B52" t="str">
            <v>Main Panel</v>
          </cell>
        </row>
      </sheetData>
      <sheetData sheetId="5211">
        <row r="52">
          <cell r="B52" t="str">
            <v>Main Panel</v>
          </cell>
        </row>
      </sheetData>
      <sheetData sheetId="5212">
        <row r="52">
          <cell r="B52" t="str">
            <v>Main Panel</v>
          </cell>
        </row>
      </sheetData>
      <sheetData sheetId="5213">
        <row r="52">
          <cell r="B52" t="str">
            <v>Main Panel</v>
          </cell>
        </row>
      </sheetData>
      <sheetData sheetId="5214">
        <row r="52">
          <cell r="B52" t="str">
            <v>Main Panel</v>
          </cell>
        </row>
      </sheetData>
      <sheetData sheetId="5215">
        <row r="52">
          <cell r="B52" t="str">
            <v>Main Panel</v>
          </cell>
        </row>
      </sheetData>
      <sheetData sheetId="5216">
        <row r="52">
          <cell r="B52" t="str">
            <v>Main Panel</v>
          </cell>
        </row>
      </sheetData>
      <sheetData sheetId="5217">
        <row r="52">
          <cell r="B52" t="str">
            <v>Main Panel</v>
          </cell>
        </row>
      </sheetData>
      <sheetData sheetId="5218">
        <row r="52">
          <cell r="B52" t="str">
            <v>Main Panel</v>
          </cell>
        </row>
      </sheetData>
      <sheetData sheetId="5219">
        <row r="52">
          <cell r="B52" t="str">
            <v>Main Panel</v>
          </cell>
        </row>
      </sheetData>
      <sheetData sheetId="5220">
        <row r="52">
          <cell r="B52" t="str">
            <v>Main Panel</v>
          </cell>
        </row>
      </sheetData>
      <sheetData sheetId="5221">
        <row r="52">
          <cell r="B52" t="str">
            <v>Main Panel</v>
          </cell>
        </row>
      </sheetData>
      <sheetData sheetId="5222">
        <row r="52">
          <cell r="B52" t="str">
            <v>Main Panel</v>
          </cell>
        </row>
      </sheetData>
      <sheetData sheetId="5223">
        <row r="52">
          <cell r="B52" t="str">
            <v>Main Panel</v>
          </cell>
        </row>
      </sheetData>
      <sheetData sheetId="5224">
        <row r="52">
          <cell r="B52" t="str">
            <v>Main Panel</v>
          </cell>
        </row>
      </sheetData>
      <sheetData sheetId="5225">
        <row r="52">
          <cell r="B52" t="str">
            <v>Main Panel</v>
          </cell>
        </row>
      </sheetData>
      <sheetData sheetId="5226">
        <row r="52">
          <cell r="B52" t="str">
            <v>Main Panel</v>
          </cell>
        </row>
      </sheetData>
      <sheetData sheetId="5227">
        <row r="52">
          <cell r="B52" t="str">
            <v>Main Panel</v>
          </cell>
        </row>
      </sheetData>
      <sheetData sheetId="5228">
        <row r="52">
          <cell r="B52" t="str">
            <v>Main Panel</v>
          </cell>
        </row>
      </sheetData>
      <sheetData sheetId="5229">
        <row r="52">
          <cell r="B52" t="str">
            <v>Main Panel</v>
          </cell>
        </row>
      </sheetData>
      <sheetData sheetId="5230">
        <row r="52">
          <cell r="B52" t="str">
            <v>Main Panel</v>
          </cell>
        </row>
      </sheetData>
      <sheetData sheetId="5231">
        <row r="52">
          <cell r="B52" t="str">
            <v>Main Panel</v>
          </cell>
        </row>
      </sheetData>
      <sheetData sheetId="5232">
        <row r="52">
          <cell r="B52" t="str">
            <v>Main Panel</v>
          </cell>
        </row>
      </sheetData>
      <sheetData sheetId="5233">
        <row r="52">
          <cell r="B52" t="str">
            <v>Main Panel</v>
          </cell>
        </row>
      </sheetData>
      <sheetData sheetId="5234">
        <row r="52">
          <cell r="B52" t="str">
            <v>Main Panel</v>
          </cell>
        </row>
      </sheetData>
      <sheetData sheetId="5235">
        <row r="52">
          <cell r="B52" t="str">
            <v>Main Panel</v>
          </cell>
        </row>
      </sheetData>
      <sheetData sheetId="5236">
        <row r="52">
          <cell r="B52" t="str">
            <v>Main Panel</v>
          </cell>
        </row>
      </sheetData>
      <sheetData sheetId="5237">
        <row r="52">
          <cell r="B52" t="str">
            <v>Main Panel</v>
          </cell>
        </row>
      </sheetData>
      <sheetData sheetId="5238">
        <row r="52">
          <cell r="B52" t="str">
            <v>Main Panel</v>
          </cell>
        </row>
      </sheetData>
      <sheetData sheetId="5239">
        <row r="52">
          <cell r="B52" t="str">
            <v>Main Panel</v>
          </cell>
        </row>
      </sheetData>
      <sheetData sheetId="5240">
        <row r="52">
          <cell r="B52" t="str">
            <v>Main Panel</v>
          </cell>
        </row>
      </sheetData>
      <sheetData sheetId="5241">
        <row r="52">
          <cell r="B52" t="str">
            <v>Main Panel</v>
          </cell>
        </row>
      </sheetData>
      <sheetData sheetId="5242">
        <row r="52">
          <cell r="B52" t="str">
            <v>Main Panel</v>
          </cell>
        </row>
      </sheetData>
      <sheetData sheetId="5243">
        <row r="52">
          <cell r="B52" t="str">
            <v>Main Panel</v>
          </cell>
        </row>
      </sheetData>
      <sheetData sheetId="5244">
        <row r="52">
          <cell r="B52" t="str">
            <v>Main Panel</v>
          </cell>
        </row>
      </sheetData>
      <sheetData sheetId="5245">
        <row r="52">
          <cell r="B52" t="str">
            <v>Main Panel</v>
          </cell>
        </row>
      </sheetData>
      <sheetData sheetId="5246">
        <row r="52">
          <cell r="B52" t="str">
            <v>Main Panel</v>
          </cell>
        </row>
      </sheetData>
      <sheetData sheetId="5247">
        <row r="52">
          <cell r="B52" t="str">
            <v>Main Panel</v>
          </cell>
        </row>
      </sheetData>
      <sheetData sheetId="5248">
        <row r="52">
          <cell r="B52" t="str">
            <v>Main Panel</v>
          </cell>
        </row>
      </sheetData>
      <sheetData sheetId="5249">
        <row r="52">
          <cell r="B52" t="str">
            <v>Main Panel</v>
          </cell>
        </row>
      </sheetData>
      <sheetData sheetId="5250">
        <row r="52">
          <cell r="B52" t="str">
            <v>Main Panel</v>
          </cell>
        </row>
      </sheetData>
      <sheetData sheetId="5251">
        <row r="52">
          <cell r="B52" t="str">
            <v>Main Panel</v>
          </cell>
        </row>
      </sheetData>
      <sheetData sheetId="5252">
        <row r="52">
          <cell r="B52" t="str">
            <v>Main Panel</v>
          </cell>
        </row>
      </sheetData>
      <sheetData sheetId="5253">
        <row r="52">
          <cell r="B52" t="str">
            <v>Main Panel</v>
          </cell>
        </row>
      </sheetData>
      <sheetData sheetId="5254">
        <row r="52">
          <cell r="B52" t="str">
            <v>Main Panel</v>
          </cell>
        </row>
      </sheetData>
      <sheetData sheetId="5255">
        <row r="52">
          <cell r="B52" t="str">
            <v>Main Panel</v>
          </cell>
        </row>
      </sheetData>
      <sheetData sheetId="5256">
        <row r="52">
          <cell r="B52" t="str">
            <v>Main Panel</v>
          </cell>
        </row>
      </sheetData>
      <sheetData sheetId="5257">
        <row r="52">
          <cell r="B52" t="str">
            <v>Main Panel</v>
          </cell>
        </row>
      </sheetData>
      <sheetData sheetId="5258">
        <row r="52">
          <cell r="B52" t="str">
            <v>Main Panel</v>
          </cell>
        </row>
      </sheetData>
      <sheetData sheetId="5259">
        <row r="52">
          <cell r="B52" t="str">
            <v>Main Panel</v>
          </cell>
        </row>
      </sheetData>
      <sheetData sheetId="5260">
        <row r="52">
          <cell r="B52" t="str">
            <v>Main Panel</v>
          </cell>
        </row>
      </sheetData>
      <sheetData sheetId="5261">
        <row r="52">
          <cell r="B52" t="str">
            <v>Main Panel</v>
          </cell>
        </row>
      </sheetData>
      <sheetData sheetId="5262">
        <row r="52">
          <cell r="B52" t="str">
            <v>Main Panel</v>
          </cell>
        </row>
      </sheetData>
      <sheetData sheetId="5263">
        <row r="52">
          <cell r="B52" t="str">
            <v>Main Panel</v>
          </cell>
        </row>
      </sheetData>
      <sheetData sheetId="5264">
        <row r="52">
          <cell r="B52" t="str">
            <v>Main Panel</v>
          </cell>
        </row>
      </sheetData>
      <sheetData sheetId="5265">
        <row r="52">
          <cell r="B52" t="str">
            <v>Main Panel</v>
          </cell>
        </row>
      </sheetData>
      <sheetData sheetId="5266">
        <row r="52">
          <cell r="B52" t="str">
            <v>Main Panel</v>
          </cell>
        </row>
      </sheetData>
      <sheetData sheetId="5267">
        <row r="52">
          <cell r="B52" t="str">
            <v>Main Panel</v>
          </cell>
        </row>
      </sheetData>
      <sheetData sheetId="5268">
        <row r="52">
          <cell r="B52" t="str">
            <v>Main Panel</v>
          </cell>
        </row>
      </sheetData>
      <sheetData sheetId="5269">
        <row r="52">
          <cell r="B52" t="str">
            <v>Main Panel</v>
          </cell>
        </row>
      </sheetData>
      <sheetData sheetId="5270">
        <row r="52">
          <cell r="B52" t="str">
            <v>Main Panel</v>
          </cell>
        </row>
      </sheetData>
      <sheetData sheetId="5271">
        <row r="52">
          <cell r="B52" t="str">
            <v>Main Panel</v>
          </cell>
        </row>
      </sheetData>
      <sheetData sheetId="5272">
        <row r="52">
          <cell r="B52" t="str">
            <v>Main Panel</v>
          </cell>
        </row>
      </sheetData>
      <sheetData sheetId="5273">
        <row r="52">
          <cell r="B52" t="str">
            <v>Main Panel</v>
          </cell>
        </row>
      </sheetData>
      <sheetData sheetId="5274">
        <row r="52">
          <cell r="B52" t="str">
            <v>Main Panel</v>
          </cell>
        </row>
      </sheetData>
      <sheetData sheetId="5275">
        <row r="52">
          <cell r="B52" t="str">
            <v>Main Panel</v>
          </cell>
        </row>
      </sheetData>
      <sheetData sheetId="5276">
        <row r="52">
          <cell r="B52" t="str">
            <v>Main Panel</v>
          </cell>
        </row>
      </sheetData>
      <sheetData sheetId="5277">
        <row r="52">
          <cell r="B52" t="str">
            <v>Main Panel</v>
          </cell>
        </row>
      </sheetData>
      <sheetData sheetId="5278">
        <row r="52">
          <cell r="B52" t="str">
            <v>Main Panel</v>
          </cell>
        </row>
      </sheetData>
      <sheetData sheetId="5279">
        <row r="52">
          <cell r="B52" t="str">
            <v>Main Panel</v>
          </cell>
        </row>
      </sheetData>
      <sheetData sheetId="5280">
        <row r="52">
          <cell r="B52" t="str">
            <v>Main Panel</v>
          </cell>
        </row>
      </sheetData>
      <sheetData sheetId="5281">
        <row r="52">
          <cell r="B52" t="str">
            <v>Main Panel</v>
          </cell>
        </row>
      </sheetData>
      <sheetData sheetId="5282">
        <row r="52">
          <cell r="B52" t="str">
            <v>Main Panel</v>
          </cell>
        </row>
      </sheetData>
      <sheetData sheetId="5283">
        <row r="52">
          <cell r="B52" t="str">
            <v>Main Panel</v>
          </cell>
        </row>
      </sheetData>
      <sheetData sheetId="5284">
        <row r="52">
          <cell r="B52" t="str">
            <v>Main Panel</v>
          </cell>
        </row>
      </sheetData>
      <sheetData sheetId="5285">
        <row r="52">
          <cell r="B52" t="str">
            <v>Main Panel</v>
          </cell>
        </row>
      </sheetData>
      <sheetData sheetId="5286">
        <row r="52">
          <cell r="B52" t="str">
            <v>Main Panel</v>
          </cell>
        </row>
      </sheetData>
      <sheetData sheetId="5287">
        <row r="52">
          <cell r="B52" t="str">
            <v>Main Panel</v>
          </cell>
        </row>
      </sheetData>
      <sheetData sheetId="5288">
        <row r="52">
          <cell r="B52" t="str">
            <v>Main Panel</v>
          </cell>
        </row>
      </sheetData>
      <sheetData sheetId="5289">
        <row r="52">
          <cell r="B52" t="str">
            <v>Main Panel</v>
          </cell>
        </row>
      </sheetData>
      <sheetData sheetId="5290">
        <row r="52">
          <cell r="B52" t="str">
            <v>Main Panel</v>
          </cell>
        </row>
      </sheetData>
      <sheetData sheetId="5291">
        <row r="52">
          <cell r="B52" t="str">
            <v>Main Panel</v>
          </cell>
        </row>
      </sheetData>
      <sheetData sheetId="5292">
        <row r="52">
          <cell r="B52" t="str">
            <v>Main Panel</v>
          </cell>
        </row>
      </sheetData>
      <sheetData sheetId="5293">
        <row r="52">
          <cell r="B52" t="str">
            <v>Main Panel</v>
          </cell>
        </row>
      </sheetData>
      <sheetData sheetId="5294">
        <row r="52">
          <cell r="B52" t="str">
            <v>Main Panel</v>
          </cell>
        </row>
      </sheetData>
      <sheetData sheetId="5295">
        <row r="52">
          <cell r="B52" t="str">
            <v>Main Panel</v>
          </cell>
        </row>
      </sheetData>
      <sheetData sheetId="5296">
        <row r="52">
          <cell r="B52" t="str">
            <v>Main Panel</v>
          </cell>
        </row>
      </sheetData>
      <sheetData sheetId="5297">
        <row r="52">
          <cell r="B52" t="str">
            <v>Main Panel</v>
          </cell>
        </row>
      </sheetData>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row r="52">
          <cell r="B52" t="str">
            <v>Main Panel</v>
          </cell>
        </row>
      </sheetData>
      <sheetData sheetId="5313"/>
      <sheetData sheetId="5314"/>
      <sheetData sheetId="5315"/>
      <sheetData sheetId="5316"/>
      <sheetData sheetId="5317"/>
      <sheetData sheetId="5318">
        <row r="52">
          <cell r="B52" t="str">
            <v>Main Panel</v>
          </cell>
        </row>
      </sheetData>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ow r="52">
          <cell r="B52" t="str">
            <v>Main Panel</v>
          </cell>
        </row>
      </sheetData>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sheetData sheetId="5386"/>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ow r="52">
          <cell r="B52" t="str">
            <v>Main Panel</v>
          </cell>
        </row>
      </sheetData>
      <sheetData sheetId="5462">
        <row r="52">
          <cell r="B52" t="str">
            <v>Main Panel</v>
          </cell>
        </row>
      </sheetData>
      <sheetData sheetId="5463" refreshError="1"/>
      <sheetData sheetId="5464" refreshError="1"/>
      <sheetData sheetId="5465" refreshError="1"/>
      <sheetData sheetId="5466" refreshError="1"/>
      <sheetData sheetId="5467"/>
      <sheetData sheetId="5468"/>
      <sheetData sheetId="5469"/>
      <sheetData sheetId="5470"/>
      <sheetData sheetId="5471"/>
      <sheetData sheetId="5472"/>
      <sheetData sheetId="5473"/>
      <sheetData sheetId="5474"/>
      <sheetData sheetId="5475" refreshError="1"/>
      <sheetData sheetId="5476" refreshError="1"/>
      <sheetData sheetId="5477"/>
      <sheetData sheetId="5478">
        <row r="52">
          <cell r="B52" t="str">
            <v>Main Panel</v>
          </cell>
        </row>
      </sheetData>
      <sheetData sheetId="5479"/>
      <sheetData sheetId="5480" refreshError="1"/>
      <sheetData sheetId="5481"/>
      <sheetData sheetId="5482"/>
      <sheetData sheetId="5483">
        <row r="52">
          <cell r="B52" t="str">
            <v>Main Panel</v>
          </cell>
        </row>
      </sheetData>
      <sheetData sheetId="5484">
        <row r="52">
          <cell r="B52" t="str">
            <v>Main Panel</v>
          </cell>
        </row>
      </sheetData>
      <sheetData sheetId="5485">
        <row r="52">
          <cell r="B52" t="str">
            <v>Main Panel</v>
          </cell>
        </row>
      </sheetData>
      <sheetData sheetId="5486">
        <row r="52">
          <cell r="B52" t="str">
            <v>Main Panel</v>
          </cell>
        </row>
      </sheetData>
      <sheetData sheetId="5487">
        <row r="52">
          <cell r="B52" t="str">
            <v>Main Panel</v>
          </cell>
        </row>
      </sheetData>
      <sheetData sheetId="5488">
        <row r="52">
          <cell r="B52" t="str">
            <v>Main Panel</v>
          </cell>
        </row>
      </sheetData>
      <sheetData sheetId="5489">
        <row r="52">
          <cell r="B52" t="str">
            <v>Main Panel</v>
          </cell>
        </row>
      </sheetData>
      <sheetData sheetId="5490">
        <row r="52">
          <cell r="B52" t="str">
            <v>Main Panel</v>
          </cell>
        </row>
      </sheetData>
      <sheetData sheetId="5491">
        <row r="52">
          <cell r="B52" t="str">
            <v>Main Panel</v>
          </cell>
        </row>
      </sheetData>
      <sheetData sheetId="5492">
        <row r="52">
          <cell r="B52" t="str">
            <v>Main Panel</v>
          </cell>
        </row>
      </sheetData>
      <sheetData sheetId="5493">
        <row r="52">
          <cell r="B52" t="str">
            <v>Main Panel</v>
          </cell>
        </row>
      </sheetData>
      <sheetData sheetId="5494">
        <row r="52">
          <cell r="B52" t="str">
            <v>Main Panel</v>
          </cell>
        </row>
      </sheetData>
      <sheetData sheetId="5495">
        <row r="52">
          <cell r="B52" t="str">
            <v>Main Panel</v>
          </cell>
        </row>
      </sheetData>
      <sheetData sheetId="5496">
        <row r="52">
          <cell r="B52" t="str">
            <v>Main Panel</v>
          </cell>
        </row>
      </sheetData>
      <sheetData sheetId="5497">
        <row r="52">
          <cell r="B52" t="str">
            <v>Main Panel</v>
          </cell>
        </row>
      </sheetData>
      <sheetData sheetId="5498">
        <row r="52">
          <cell r="B52" t="str">
            <v>Main Panel</v>
          </cell>
        </row>
      </sheetData>
      <sheetData sheetId="5499">
        <row r="52">
          <cell r="B52" t="str">
            <v>Main Panel</v>
          </cell>
        </row>
      </sheetData>
      <sheetData sheetId="5500">
        <row r="52">
          <cell r="B52" t="str">
            <v>Main Panel</v>
          </cell>
        </row>
      </sheetData>
      <sheetData sheetId="5501">
        <row r="52">
          <cell r="B52" t="str">
            <v>Main Panel</v>
          </cell>
        </row>
      </sheetData>
      <sheetData sheetId="5502">
        <row r="52">
          <cell r="B52" t="str">
            <v>Main Panel</v>
          </cell>
        </row>
      </sheetData>
      <sheetData sheetId="5503">
        <row r="52">
          <cell r="B52" t="str">
            <v>Main Panel</v>
          </cell>
        </row>
      </sheetData>
      <sheetData sheetId="5504">
        <row r="52">
          <cell r="B52" t="str">
            <v>Main Panel</v>
          </cell>
        </row>
      </sheetData>
      <sheetData sheetId="5505">
        <row r="52">
          <cell r="B52" t="str">
            <v>Main Panel</v>
          </cell>
        </row>
      </sheetData>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ow r="52">
          <cell r="B52" t="str">
            <v>Main Panel</v>
          </cell>
        </row>
      </sheetData>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sheetData sheetId="5558"/>
      <sheetData sheetId="5559"/>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row r="52">
          <cell r="B52" t="str">
            <v>Main Panel</v>
          </cell>
        </row>
      </sheetData>
      <sheetData sheetId="5591">
        <row r="52">
          <cell r="B52" t="str">
            <v>Main Panel</v>
          </cell>
        </row>
      </sheetData>
      <sheetData sheetId="5592">
        <row r="52">
          <cell r="B52" t="str">
            <v>Main Panel</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orking com (1)"/>
      <sheetName val="Working com"/>
      <sheetName val="Detal est"/>
      <sheetName val="S.C.J. PTR &amp; SKT"/>
      <sheetName val="SCJ SEP"/>
      <sheetName val="SCJ Court PTR"/>
      <sheetName val="SCJ court PTR  (2)"/>
      <sheetName val="senior civil judge court bld pu"/>
    </sheetNames>
    <definedNames>
      <definedName name="Loan_Start" refersTo="#REF!"/>
    </defined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mplifiers"/>
      <sheetName val="Microphones"/>
      <sheetName val="Processing"/>
      <sheetName val="Speakers"/>
      <sheetName val="Sheet1"/>
      <sheetName val="Cables"/>
      <sheetName val="Sheet2"/>
    </sheetNames>
    <sheetDataSet>
      <sheetData sheetId="0" refreshError="1"/>
      <sheetData sheetId="1" refreshError="1">
        <row r="4">
          <cell r="A4" t="str">
            <v>AC-C4T</v>
          </cell>
        </row>
        <row r="5">
          <cell r="A5" t="str">
            <v>AC-C6T</v>
          </cell>
        </row>
        <row r="6">
          <cell r="A6" t="str">
            <v>AC-C8T</v>
          </cell>
        </row>
        <row r="7">
          <cell r="A7" t="str">
            <v>AC-C4T-nb</v>
          </cell>
        </row>
        <row r="8">
          <cell r="A8" t="str">
            <v>AC-C8T-nb</v>
          </cell>
        </row>
        <row r="9">
          <cell r="A9" t="str">
            <v>AD-C4T-BKAD-C4T-WH</v>
          </cell>
        </row>
        <row r="10">
          <cell r="A10" t="str">
            <v>AD-C4T-LP</v>
          </cell>
        </row>
        <row r="11">
          <cell r="A11" t="str">
            <v>AD-C6T-BKAD-C6T-WH</v>
          </cell>
        </row>
        <row r="12">
          <cell r="A12" t="str">
            <v>AD-C6T-LP</v>
          </cell>
        </row>
        <row r="13">
          <cell r="A13" t="str">
            <v>AD-C81Tw-WH</v>
          </cell>
        </row>
        <row r="14">
          <cell r="A14" t="str">
            <v>AD-C821R SYSTEM</v>
          </cell>
        </row>
        <row r="15">
          <cell r="A15" t="str">
            <v>AD-C1200</v>
          </cell>
        </row>
        <row r="16">
          <cell r="A16" t="str">
            <v>AC-S4T-BK</v>
          </cell>
        </row>
        <row r="17">
          <cell r="A17" t="str">
            <v>AC-S4T-WH</v>
          </cell>
        </row>
        <row r="18">
          <cell r="A18" t="str">
            <v>AC-S6T-BK</v>
          </cell>
        </row>
        <row r="19">
          <cell r="A19" t="str">
            <v>AC-S6T-WH</v>
          </cell>
        </row>
        <row r="20">
          <cell r="A20" t="str">
            <v>AD-S4T-BK</v>
          </cell>
        </row>
        <row r="21">
          <cell r="A21" t="str">
            <v>AD-S4T-WH</v>
          </cell>
        </row>
        <row r="22">
          <cell r="A22" t="str">
            <v>AD-S6T-BK</v>
          </cell>
        </row>
        <row r="23">
          <cell r="A23" t="str">
            <v>AD-S6T-WH</v>
          </cell>
        </row>
        <row r="24">
          <cell r="A24" t="str">
            <v>AD-S8T-BK</v>
          </cell>
        </row>
        <row r="25">
          <cell r="A25" t="str">
            <v>AD-S8T-WH</v>
          </cell>
        </row>
        <row r="26">
          <cell r="A26" t="str">
            <v>AD-S10T-BK</v>
          </cell>
        </row>
        <row r="27">
          <cell r="A27" t="str">
            <v>AD-S10T-WH</v>
          </cell>
        </row>
        <row r="28">
          <cell r="A28" t="str">
            <v>AD-S12-BK</v>
          </cell>
        </row>
        <row r="29">
          <cell r="A29" t="str">
            <v>AD-S12-WH</v>
          </cell>
        </row>
        <row r="30">
          <cell r="A30" t="str">
            <v xml:space="preserve">AD-S112-sw </v>
          </cell>
        </row>
        <row r="31">
          <cell r="A31" t="str">
            <v>AD-S28Tw-BK</v>
          </cell>
        </row>
        <row r="32">
          <cell r="A32" t="str">
            <v>AD-S32T-BK</v>
          </cell>
        </row>
        <row r="33">
          <cell r="A33" t="str">
            <v>AD-S32T-WH</v>
          </cell>
        </row>
        <row r="34">
          <cell r="A34" t="str">
            <v>AD-S52-BK</v>
          </cell>
        </row>
        <row r="35">
          <cell r="A35" t="str">
            <v>AD-S52-WH</v>
          </cell>
        </row>
        <row r="36">
          <cell r="A36" t="str">
            <v>AD-S52T-BK</v>
          </cell>
        </row>
        <row r="37">
          <cell r="A37" t="str">
            <v>AD-S52T-WH</v>
          </cell>
        </row>
        <row r="38">
          <cell r="A38" t="str">
            <v>AD-S282H-BK</v>
          </cell>
        </row>
        <row r="39">
          <cell r="A39" t="str">
            <v>AD-S282H-WH</v>
          </cell>
        </row>
        <row r="40">
          <cell r="A40" t="str">
            <v>AD-S282HT-BK</v>
          </cell>
        </row>
        <row r="41">
          <cell r="A41" t="str">
            <v>AD-S282HT-WH</v>
          </cell>
        </row>
        <row r="42">
          <cell r="A42" t="str">
            <v xml:space="preserve">AP-5102-BK                                </v>
          </cell>
        </row>
        <row r="43">
          <cell r="A43" t="str">
            <v xml:space="preserve">AP-5122-BK                                    </v>
          </cell>
        </row>
        <row r="44">
          <cell r="A44" t="str">
            <v>AP-5152-BK</v>
          </cell>
        </row>
        <row r="45">
          <cell r="A45" t="str">
            <v>AP-5122m</v>
          </cell>
        </row>
        <row r="46">
          <cell r="A46" t="str">
            <v xml:space="preserve">AP-4122m                          </v>
          </cell>
        </row>
        <row r="47">
          <cell r="A47" t="str">
            <v>AP-212sw</v>
          </cell>
        </row>
        <row r="48">
          <cell r="A48" t="str">
            <v xml:space="preserve">KLA12-BK </v>
          </cell>
        </row>
        <row r="49">
          <cell r="A49" t="str">
            <v xml:space="preserve">KLA181-BK </v>
          </cell>
        </row>
        <row r="50">
          <cell r="A50" t="str">
            <v>KW122-BK</v>
          </cell>
        </row>
        <row r="51">
          <cell r="A51" t="str">
            <v>KW152-BK</v>
          </cell>
        </row>
        <row r="52">
          <cell r="A52" t="str">
            <v>KW153-BK</v>
          </cell>
        </row>
        <row r="53">
          <cell r="A53" t="str">
            <v>KW181-BK</v>
          </cell>
        </row>
        <row r="54">
          <cell r="A54" t="str">
            <v>K8-230-BK</v>
          </cell>
        </row>
        <row r="55">
          <cell r="A55" t="str">
            <v>K10-230-BK</v>
          </cell>
        </row>
        <row r="56">
          <cell r="A56" t="str">
            <v>K12-230-BK</v>
          </cell>
        </row>
        <row r="57">
          <cell r="A57" t="str">
            <v>KSUB-230-BK</v>
          </cell>
        </row>
        <row r="58">
          <cell r="A58" t="str">
            <v>E10</v>
          </cell>
        </row>
        <row r="59">
          <cell r="A59" t="str">
            <v>E12</v>
          </cell>
        </row>
        <row r="60">
          <cell r="A60" t="str">
            <v>E15</v>
          </cell>
        </row>
        <row r="61">
          <cell r="A61" t="str">
            <v>E18SW</v>
          </cell>
        </row>
        <row r="62">
          <cell r="A62" t="str">
            <v>WL118-sw-BK</v>
          </cell>
        </row>
        <row r="63">
          <cell r="A63" t="str">
            <v>WL118-sw-WH</v>
          </cell>
        </row>
        <row r="64">
          <cell r="A64" t="str">
            <v>WL2082-i-BK</v>
          </cell>
        </row>
        <row r="65">
          <cell r="A65" t="str">
            <v>WL2082-i-WH</v>
          </cell>
        </row>
        <row r="66">
          <cell r="A66" t="str">
            <v>GP118-sw-BK</v>
          </cell>
        </row>
        <row r="67">
          <cell r="A67" t="str">
            <v>GP118-sw-WH</v>
          </cell>
        </row>
        <row r="68">
          <cell r="A68" t="str">
            <v>GP218-sw-BK</v>
          </cell>
        </row>
        <row r="69">
          <cell r="A69" t="str">
            <v>GP218-sw-WH</v>
          </cell>
        </row>
        <row r="70">
          <cell r="A70" t="str">
            <v>WL218-sw-BK</v>
          </cell>
        </row>
        <row r="71">
          <cell r="A71" t="str">
            <v>WL218-sw-WH</v>
          </cell>
        </row>
        <row r="72">
          <cell r="A72" t="str">
            <v>WL2102-w-BK</v>
          </cell>
        </row>
        <row r="73">
          <cell r="A73" t="str">
            <v>WL2102-w-WH</v>
          </cell>
        </row>
        <row r="74">
          <cell r="A74" t="str">
            <v>WL3082-BK</v>
          </cell>
        </row>
        <row r="75">
          <cell r="A75" t="str">
            <v>WL3082-WH</v>
          </cell>
        </row>
        <row r="76">
          <cell r="A76" t="str">
            <v>WL212-sw-BK</v>
          </cell>
        </row>
        <row r="77">
          <cell r="A77" t="str">
            <v>WL212-sw-WH</v>
          </cell>
        </row>
        <row r="78">
          <cell r="A78" t="str">
            <v xml:space="preserve">GP212-sw-BK  </v>
          </cell>
        </row>
        <row r="79">
          <cell r="A79" t="str">
            <v>GP212-sw-WH</v>
          </cell>
        </row>
        <row r="80">
          <cell r="A80" t="str">
            <v>SC 1120</v>
          </cell>
        </row>
        <row r="81">
          <cell r="A81" t="str">
            <v>SC 1150</v>
          </cell>
        </row>
        <row r="82">
          <cell r="A82" t="str">
            <v>SC-312XC</v>
          </cell>
        </row>
        <row r="83">
          <cell r="A83" t="str">
            <v>SC-322XC</v>
          </cell>
        </row>
        <row r="84">
          <cell r="A84" t="str">
            <v>SC-2150</v>
          </cell>
        </row>
        <row r="85">
          <cell r="A85" t="str">
            <v>SC-412C</v>
          </cell>
        </row>
        <row r="86">
          <cell r="A86" t="str">
            <v>SC-322C</v>
          </cell>
        </row>
        <row r="87">
          <cell r="A87" t="str">
            <v>SC-422C</v>
          </cell>
        </row>
        <row r="88">
          <cell r="A88" t="str">
            <v>SC-413C</v>
          </cell>
        </row>
        <row r="89">
          <cell r="A89" t="str">
            <v>SC-323C</v>
          </cell>
        </row>
        <row r="90">
          <cell r="A90" t="str">
            <v>SC-423C</v>
          </cell>
        </row>
        <row r="91">
          <cell r="A91" t="str">
            <v>SC-423C-8</v>
          </cell>
        </row>
        <row r="92">
          <cell r="A92" t="str">
            <v>SC-423C-F</v>
          </cell>
        </row>
        <row r="93">
          <cell r="A93" t="str">
            <v>SC-433C</v>
          </cell>
        </row>
        <row r="94">
          <cell r="A94" t="str">
            <v xml:space="preserve">SC-443C </v>
          </cell>
        </row>
        <row r="95">
          <cell r="A95" t="str">
            <v>RSC-112</v>
          </cell>
        </row>
        <row r="96">
          <cell r="A96" t="str">
            <v>SC-414</v>
          </cell>
        </row>
        <row r="97">
          <cell r="A97" t="str">
            <v>SC-324</v>
          </cell>
        </row>
        <row r="98">
          <cell r="A98" t="str">
            <v>SC-424</v>
          </cell>
        </row>
        <row r="99">
          <cell r="A99" t="str">
            <v>SC-424-8</v>
          </cell>
        </row>
        <row r="100">
          <cell r="A100" t="str">
            <v>SC-424-8F</v>
          </cell>
        </row>
        <row r="101">
          <cell r="A101" t="str">
            <v>SC-434</v>
          </cell>
        </row>
        <row r="102">
          <cell r="A102" t="str">
            <v>SC-444</v>
          </cell>
        </row>
        <row r="103">
          <cell r="A103" t="str">
            <v>SB-1180</v>
          </cell>
        </row>
        <row r="104">
          <cell r="A104" t="str">
            <v>SB-5118</v>
          </cell>
        </row>
        <row r="105">
          <cell r="A105" t="str">
            <v>SB-7118</v>
          </cell>
        </row>
        <row r="106">
          <cell r="A106" t="str">
            <v>SB-5218</v>
          </cell>
        </row>
        <row r="107">
          <cell r="A107" t="str">
            <v>SB-2180      NEW</v>
          </cell>
        </row>
        <row r="108">
          <cell r="A108" t="str">
            <v>SB-7218</v>
          </cell>
        </row>
        <row r="109">
          <cell r="A109" t="str">
            <v>SB-15121</v>
          </cell>
        </row>
        <row r="110">
          <cell r="A110" t="str">
            <v>RSB-212</v>
          </cell>
        </row>
        <row r="111">
          <cell r="A111" t="str">
            <v>SR-8101</v>
          </cell>
        </row>
        <row r="112">
          <cell r="A112" t="str">
            <v>SR-8200</v>
          </cell>
        </row>
        <row r="113">
          <cell r="A113" t="str">
            <v>SR-1020</v>
          </cell>
        </row>
        <row r="114">
          <cell r="A114" t="str">
            <v>SR-1030</v>
          </cell>
        </row>
        <row r="115">
          <cell r="A115" t="str">
            <v>SR-1290</v>
          </cell>
        </row>
        <row r="116">
          <cell r="A116" t="str">
            <v>SR-5152</v>
          </cell>
        </row>
        <row r="117">
          <cell r="A117" t="str">
            <v>SR-1590        NEW</v>
          </cell>
        </row>
      </sheetData>
      <sheetData sheetId="2" refreshError="1">
        <row r="3">
          <cell r="A3" t="str">
            <v>PLD4.2-IN</v>
          </cell>
        </row>
        <row r="4">
          <cell r="A4" t="str">
            <v>PLD4.3-IN</v>
          </cell>
        </row>
        <row r="5">
          <cell r="A5" t="str">
            <v>PLD4.5-IN</v>
          </cell>
        </row>
        <row r="6">
          <cell r="A6" t="str">
            <v>PC13L1M-IN</v>
          </cell>
        </row>
        <row r="7">
          <cell r="A7" t="str">
            <v>CXD4.2-IN</v>
          </cell>
        </row>
        <row r="8">
          <cell r="A8" t="str">
            <v>CXD4.3-IN</v>
          </cell>
        </row>
        <row r="9">
          <cell r="A9" t="str">
            <v>CXD4.5-IN</v>
          </cell>
        </row>
        <row r="10">
          <cell r="A10" t="str">
            <v>CXD4.2Q-IN</v>
          </cell>
        </row>
        <row r="11">
          <cell r="A11" t="str">
            <v>CXD4.3Q-IN</v>
          </cell>
        </row>
        <row r="12">
          <cell r="A12" t="str">
            <v>CXD4.5Q-IN</v>
          </cell>
        </row>
        <row r="13">
          <cell r="A13" t="str">
            <v>CX108V-230</v>
          </cell>
        </row>
        <row r="14">
          <cell r="A14" t="str">
            <v>CX1102-230</v>
          </cell>
        </row>
        <row r="15">
          <cell r="A15" t="str">
            <v>CX1202V-230</v>
          </cell>
        </row>
        <row r="16">
          <cell r="A16" t="str">
            <v>CX168-230</v>
          </cell>
        </row>
        <row r="17">
          <cell r="A17" t="str">
            <v>CX204V-230</v>
          </cell>
        </row>
        <row r="18">
          <cell r="A18" t="str">
            <v>CX254-230</v>
          </cell>
        </row>
        <row r="19">
          <cell r="A19" t="str">
            <v>CX302-230</v>
          </cell>
        </row>
        <row r="20">
          <cell r="A20" t="str">
            <v>CX302V-230</v>
          </cell>
        </row>
        <row r="21">
          <cell r="A21" t="str">
            <v>CX404-230</v>
          </cell>
        </row>
        <row r="22">
          <cell r="A22" t="str">
            <v>CX502-230</v>
          </cell>
        </row>
        <row r="23">
          <cell r="A23" t="str">
            <v>CX602V-230</v>
          </cell>
        </row>
        <row r="24">
          <cell r="A24" t="str">
            <v>CX702-230</v>
          </cell>
        </row>
        <row r="25">
          <cell r="A25" t="str">
            <v>CX902-230</v>
          </cell>
        </row>
        <row r="26">
          <cell r="A26" t="str">
            <v>ISA300Ti-230</v>
          </cell>
        </row>
        <row r="27">
          <cell r="A27" t="str">
            <v>ISA500Ti-230</v>
          </cell>
        </row>
        <row r="28">
          <cell r="A28" t="str">
            <v>ISA800Ti-230</v>
          </cell>
        </row>
        <row r="29">
          <cell r="A29" t="str">
            <v>GX3-230</v>
          </cell>
        </row>
        <row r="30">
          <cell r="A30" t="str">
            <v>GX5-230</v>
          </cell>
        </row>
        <row r="31">
          <cell r="A31" t="str">
            <v>GX7-230</v>
          </cell>
        </row>
        <row r="32">
          <cell r="A32" t="str">
            <v>GXD4</v>
          </cell>
        </row>
        <row r="33">
          <cell r="A33" t="str">
            <v>GXD8</v>
          </cell>
        </row>
        <row r="34">
          <cell r="A34" t="str">
            <v>PLX1104-230</v>
          </cell>
        </row>
        <row r="35">
          <cell r="A35" t="str">
            <v>PLX1804-230</v>
          </cell>
        </row>
        <row r="36">
          <cell r="A36" t="str">
            <v>PLX1802-230</v>
          </cell>
        </row>
        <row r="37">
          <cell r="A37" t="str">
            <v>PLX2502-230</v>
          </cell>
        </row>
        <row r="38">
          <cell r="A38" t="str">
            <v>PLX3102-230</v>
          </cell>
        </row>
        <row r="39">
          <cell r="A39" t="str">
            <v>PLX3602-230</v>
          </cell>
        </row>
        <row r="40">
          <cell r="A40" t="str">
            <v>PL325-230</v>
          </cell>
        </row>
        <row r="41">
          <cell r="A41" t="str">
            <v>PL340-230</v>
          </cell>
        </row>
        <row r="42">
          <cell r="A42" t="str">
            <v>PL380-230</v>
          </cell>
        </row>
        <row r="43">
          <cell r="A43" t="str">
            <v>RMX850a-230</v>
          </cell>
        </row>
        <row r="44">
          <cell r="A44" t="str">
            <v>RMX1450a-230</v>
          </cell>
        </row>
        <row r="45">
          <cell r="A45" t="str">
            <v>RMX2450a-230</v>
          </cell>
        </row>
        <row r="46">
          <cell r="A46" t="str">
            <v>RMX4050a-230</v>
          </cell>
        </row>
        <row r="47">
          <cell r="A47" t="str">
            <v>RMX5050a-230</v>
          </cell>
        </row>
        <row r="48">
          <cell r="A48" t="str">
            <v>CMX300Va-230</v>
          </cell>
        </row>
        <row r="49">
          <cell r="A49" t="str">
            <v>CMX500Va-230</v>
          </cell>
        </row>
        <row r="50">
          <cell r="A50" t="str">
            <v>CMX800Va-230</v>
          </cell>
        </row>
        <row r="51">
          <cell r="A51" t="str">
            <v>CMX2000Va-230</v>
          </cell>
        </row>
        <row r="52">
          <cell r="A52" t="str">
            <v>SPA4-60</v>
          </cell>
        </row>
        <row r="53">
          <cell r="A53" t="str">
            <v>SPA2-60</v>
          </cell>
        </row>
        <row r="54">
          <cell r="A54" t="str">
            <v>SPA2-200-EU</v>
          </cell>
        </row>
        <row r="55">
          <cell r="A55" t="str">
            <v>SPA4-100-EU</v>
          </cell>
        </row>
        <row r="56">
          <cell r="A56" t="str">
            <v>DPA4.2-IN</v>
          </cell>
        </row>
        <row r="57">
          <cell r="A57" t="str">
            <v>DPA4.3-IN</v>
          </cell>
        </row>
        <row r="58">
          <cell r="A58" t="str">
            <v xml:space="preserve">DPA4.5-IN </v>
          </cell>
        </row>
        <row r="59">
          <cell r="A59" t="str">
            <v>DCA 1222</v>
          </cell>
        </row>
        <row r="60">
          <cell r="A60" t="str">
            <v>DCA 1622</v>
          </cell>
        </row>
        <row r="61">
          <cell r="A61" t="str">
            <v>DCA 1644</v>
          </cell>
        </row>
        <row r="62">
          <cell r="A62" t="str">
            <v>DCA 1824</v>
          </cell>
        </row>
        <row r="63">
          <cell r="A63" t="str">
            <v>DCA 2422</v>
          </cell>
        </row>
        <row r="64">
          <cell r="A64" t="str">
            <v>DCA 3022</v>
          </cell>
        </row>
        <row r="65">
          <cell r="A65" t="str">
            <v>DCA 3422</v>
          </cell>
        </row>
        <row r="66">
          <cell r="A66" t="str">
            <v>ISA280-230</v>
          </cell>
        </row>
        <row r="67">
          <cell r="A67" t="str">
            <v>ISA450-230</v>
          </cell>
        </row>
        <row r="68">
          <cell r="A68" t="str">
            <v>ISA750-230</v>
          </cell>
        </row>
        <row r="69">
          <cell r="A69" t="str">
            <v>ISA1350-230</v>
          </cell>
        </row>
        <row r="70">
          <cell r="A70" t="str">
            <v>DPA4.2Q-IN</v>
          </cell>
        </row>
        <row r="71">
          <cell r="A71" t="str">
            <v>DPA4.3Q-IN</v>
          </cell>
        </row>
        <row r="72">
          <cell r="A72" t="str">
            <v>DPA4.5Q-IN</v>
          </cell>
        </row>
        <row r="73">
          <cell r="A73" t="str">
            <v>REAR RACK EAR KIT  - 7"</v>
          </cell>
        </row>
        <row r="74">
          <cell r="A74" t="str">
            <v>REAR RACK EAR KIT  - 3 "</v>
          </cell>
        </row>
        <row r="75">
          <cell r="A75" t="str">
            <v>IT-42</v>
          </cell>
        </row>
        <row r="76">
          <cell r="A76" t="str">
            <v>XC-3</v>
          </cell>
        </row>
        <row r="77">
          <cell r="A77" t="str">
            <v>LF-3</v>
          </cell>
        </row>
        <row r="78">
          <cell r="A78" t="str">
            <v>SF-3</v>
          </cell>
        </row>
        <row r="79">
          <cell r="A79" t="str">
            <v>PLENUM KIT</v>
          </cell>
        </row>
      </sheetData>
      <sheetData sheetId="3" refreshError="1">
        <row r="2">
          <cell r="A2" t="str">
            <v>TOUCHMIX-8</v>
          </cell>
        </row>
        <row r="4">
          <cell r="A4" t="str">
            <v>TMR-1</v>
          </cell>
        </row>
        <row r="5">
          <cell r="A5" t="str">
            <v>Core 110F</v>
          </cell>
        </row>
        <row r="6">
          <cell r="A6" t="str">
            <v>CORE 500i KIT</v>
          </cell>
        </row>
        <row r="7">
          <cell r="A7" t="str">
            <v>CORE 1100</v>
          </cell>
        </row>
        <row r="8">
          <cell r="A8" t="str">
            <v>CORE 3100</v>
          </cell>
        </row>
        <row r="9">
          <cell r="A9" t="str">
            <v>I/O FRAME KIT</v>
          </cell>
        </row>
        <row r="10">
          <cell r="A10" t="str">
            <v>I/O FRAME 8S KIT</v>
          </cell>
        </row>
        <row r="11">
          <cell r="A11" t="str">
            <v>I/O-22</v>
          </cell>
        </row>
        <row r="12">
          <cell r="A12" t="str">
            <v>I/O-11</v>
          </cell>
        </row>
        <row r="13">
          <cell r="A13" t="str">
            <v>I/O-11NE</v>
          </cell>
        </row>
        <row r="14">
          <cell r="A14" t="str">
            <v xml:space="preserve">CIML4 </v>
          </cell>
        </row>
        <row r="15">
          <cell r="A15" t="str">
            <v xml:space="preserve">CIML4-HP </v>
          </cell>
        </row>
        <row r="16">
          <cell r="A16" t="str">
            <v xml:space="preserve">COL4 </v>
          </cell>
        </row>
        <row r="17">
          <cell r="A17" t="str">
            <v xml:space="preserve">CAES4 </v>
          </cell>
        </row>
        <row r="18">
          <cell r="A18" t="str">
            <v xml:space="preserve">CIAES16 </v>
          </cell>
        </row>
        <row r="19">
          <cell r="A19" t="str">
            <v xml:space="preserve">CODP4 </v>
          </cell>
        </row>
        <row r="20">
          <cell r="A20" t="str">
            <v xml:space="preserve">CAN32 </v>
          </cell>
        </row>
        <row r="21">
          <cell r="A21" t="str">
            <v xml:space="preserve">CCN32 </v>
          </cell>
        </row>
        <row r="22">
          <cell r="A22" t="str">
            <v xml:space="preserve">CDN64 </v>
          </cell>
        </row>
        <row r="23">
          <cell r="A23" t="str">
            <v>RP1 KIT</v>
          </cell>
        </row>
        <row r="24">
          <cell r="A24" t="str">
            <v>CR1 KIT</v>
          </cell>
        </row>
        <row r="25">
          <cell r="A25" t="str">
            <v>PS-1600H</v>
          </cell>
        </row>
        <row r="26">
          <cell r="A26" t="str">
            <v>PS-1600G</v>
          </cell>
        </row>
        <row r="27">
          <cell r="A27" t="str">
            <v>PS-1650H</v>
          </cell>
        </row>
        <row r="28">
          <cell r="A28" t="str">
            <v>PS-1650G</v>
          </cell>
        </row>
        <row r="29">
          <cell r="A29" t="str">
            <v>PS-X</v>
          </cell>
        </row>
        <row r="30">
          <cell r="A30" t="str">
            <v>PS-ACC</v>
          </cell>
        </row>
        <row r="31">
          <cell r="A31" t="str">
            <v>DAB-801</v>
          </cell>
        </row>
        <row r="32">
          <cell r="A32" t="str">
            <v>IT-8400</v>
          </cell>
        </row>
        <row r="33">
          <cell r="A33" t="str">
            <v>TSC-3-BK</v>
          </cell>
        </row>
        <row r="34">
          <cell r="A34" t="str">
            <v>TSC-3-WH</v>
          </cell>
        </row>
        <row r="35">
          <cell r="A35" t="str">
            <v>TSC-7t</v>
          </cell>
        </row>
        <row r="36">
          <cell r="A36" t="str">
            <v>TSC-7w</v>
          </cell>
        </row>
        <row r="37">
          <cell r="A37" t="str">
            <v>TSC-7-PS</v>
          </cell>
        </row>
        <row r="38">
          <cell r="A38" t="str">
            <v>PTL-1</v>
          </cell>
        </row>
        <row r="39">
          <cell r="A39" t="str">
            <v>WCP-1</v>
          </cell>
        </row>
        <row r="40">
          <cell r="A40" t="str">
            <v>WCP-2</v>
          </cell>
        </row>
        <row r="41">
          <cell r="A41" t="str">
            <v>MTP-32 KIT</v>
          </cell>
        </row>
        <row r="42">
          <cell r="A42" t="str">
            <v>MTP-64 KIT</v>
          </cell>
        </row>
        <row r="43">
          <cell r="A43" t="str">
            <v>MTP-128 KIT</v>
          </cell>
        </row>
        <row r="44">
          <cell r="A44" t="str">
            <v>MD-S KIT</v>
          </cell>
        </row>
        <row r="45">
          <cell r="A45" t="str">
            <v>MD-M KIT</v>
          </cell>
        </row>
        <row r="46">
          <cell r="A46" t="str">
            <v>MD-L KIT</v>
          </cell>
        </row>
        <row r="47">
          <cell r="A47" t="str">
            <v>MD-110</v>
          </cell>
        </row>
        <row r="48">
          <cell r="A48" t="str">
            <v>DDI-3</v>
          </cell>
        </row>
        <row r="49">
          <cell r="A49" t="str">
            <v>DDI-11</v>
          </cell>
        </row>
        <row r="50">
          <cell r="A50" t="str">
            <v>DPC-1</v>
          </cell>
        </row>
        <row r="51">
          <cell r="A51" t="str">
            <v>DPC-2</v>
          </cell>
        </row>
        <row r="52">
          <cell r="A52" t="str">
            <v>DPC-3</v>
          </cell>
        </row>
        <row r="53">
          <cell r="A53" t="str">
            <v>DPC-4</v>
          </cell>
        </row>
        <row r="54">
          <cell r="A54" t="str">
            <v>DPC-5</v>
          </cell>
        </row>
        <row r="55">
          <cell r="A55" t="str">
            <v>DPC-6</v>
          </cell>
        </row>
        <row r="56">
          <cell r="A56" t="str">
            <v>DPC-10</v>
          </cell>
        </row>
        <row r="57">
          <cell r="A57" t="str">
            <v>DPC-20</v>
          </cell>
        </row>
        <row r="58">
          <cell r="A58" t="str">
            <v>DPC-75</v>
          </cell>
        </row>
        <row r="59">
          <cell r="A59" t="str">
            <v>DPC-100</v>
          </cell>
        </row>
        <row r="60">
          <cell r="A60" t="str">
            <v>HP 2530-8G (J9777A)</v>
          </cell>
        </row>
        <row r="61">
          <cell r="A61" t="str">
            <v>HP 2530-24G (J9776A)</v>
          </cell>
        </row>
        <row r="62">
          <cell r="A62" t="str">
            <v>HP 2530-48G (J9775A)</v>
          </cell>
        </row>
        <row r="63">
          <cell r="A63" t="str">
            <v>HP 2530-8G-PoE+ (J9774A)</v>
          </cell>
        </row>
        <row r="64">
          <cell r="A64" t="str">
            <v>HP 2530-24G-PoE+ (J9773A)</v>
          </cell>
        </row>
        <row r="65">
          <cell r="A65" t="str">
            <v>HP 2530-48G-PoE+ (J9772A)</v>
          </cell>
        </row>
        <row r="66">
          <cell r="A66" t="str">
            <v>HY-03</v>
          </cell>
        </row>
        <row r="67">
          <cell r="A67" t="str">
            <v>FS-108P</v>
          </cell>
        </row>
        <row r="68">
          <cell r="A68" t="str">
            <v>DCP 300</v>
          </cell>
        </row>
        <row r="69">
          <cell r="A69" t="str">
            <v>DCP 200</v>
          </cell>
        </row>
        <row r="70">
          <cell r="A70" t="str">
            <v xml:space="preserve">DCP 100  </v>
          </cell>
        </row>
        <row r="71">
          <cell r="A71" t="str">
            <v>DXP</v>
          </cell>
        </row>
        <row r="72">
          <cell r="A72" t="str">
            <v>DCM-10D</v>
          </cell>
        </row>
        <row r="73">
          <cell r="A73" t="str">
            <v>DCM-30D</v>
          </cell>
        </row>
        <row r="74">
          <cell r="A74" t="str">
            <v>BLU-Ray player</v>
          </cell>
        </row>
        <row r="75">
          <cell r="A75" t="str">
            <v>Wi-Fi Audio steamer</v>
          </cell>
        </row>
        <row r="76">
          <cell r="A76" t="str">
            <v>Bluetooth Audio reciever</v>
          </cell>
        </row>
        <row r="77">
          <cell r="A77" t="str">
            <v>Media player</v>
          </cell>
        </row>
        <row r="78">
          <cell r="A78" t="str">
            <v>Wi-Fi router</v>
          </cell>
        </row>
        <row r="79">
          <cell r="A79" t="str">
            <v>Wi-Fi Access points</v>
          </cell>
        </row>
        <row r="80">
          <cell r="A80" t="str">
            <v>Dolby Atmos AV reciever</v>
          </cell>
        </row>
        <row r="81">
          <cell r="A81" t="str">
            <v>AV receiever</v>
          </cell>
        </row>
      </sheetData>
      <sheetData sheetId="4" refreshError="1"/>
      <sheetData sheetId="5">
        <row r="3">
          <cell r="A3" t="str">
            <v>Audio Signal Cable for Rack wiring</v>
          </cell>
        </row>
      </sheetData>
      <sheetData sheetId="6">
        <row r="2">
          <cell r="A2" t="str">
            <v>FOH left</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VENTORY "/>
      <sheetName val="Book1"/>
    </sheetNames>
    <definedNames>
      <definedName name="Loan_Start" refersTo="#REF!"/>
    </definedNames>
    <sheetDataSet>
      <sheetData sheetId="0"/>
      <sheetData sheetId="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st"/>
      <sheetName val="Sheet4"/>
      <sheetName val="dATA -2008"/>
      <sheetName val="Data"/>
      <sheetName val="Est 2008-09"/>
      <sheetName val="comp st"/>
      <sheetName val="Est 2"/>
      <sheetName val="Amortization Table"/>
      <sheetName val="Bill"/>
      <sheetName val="Bill - 2"/>
      <sheetName val="214 est"/>
      <sheetName val="214 Data"/>
      <sheetName val="Sheet1"/>
      <sheetName val="Sheet3"/>
    </sheetNames>
    <sheetDataSet>
      <sheetData sheetId="0"/>
      <sheetData sheetId="1"/>
      <sheetData sheetId="2"/>
      <sheetData sheetId="3"/>
      <sheetData sheetId="4"/>
      <sheetData sheetId="5"/>
      <sheetData sheetId="6"/>
      <sheetData sheetId="7" refreshError="1">
        <row r="1">
          <cell r="A1" t="str">
            <v>Loan Calculator</v>
          </cell>
        </row>
        <row r="5">
          <cell r="B5" t="str">
            <v>Enter Values</v>
          </cell>
          <cell r="F5" t="str">
            <v>Loan Summary</v>
          </cell>
        </row>
        <row r="6">
          <cell r="C6" t="str">
            <v>Loan Amount</v>
          </cell>
          <cell r="D6">
            <v>700000</v>
          </cell>
          <cell r="G6" t="str">
            <v>Scheduled Payment</v>
          </cell>
          <cell r="H6">
            <v>10362.332177591948</v>
          </cell>
        </row>
        <row r="7">
          <cell r="C7" t="str">
            <v>Annual Interest Rate</v>
          </cell>
          <cell r="D7">
            <v>0.1132</v>
          </cell>
          <cell r="G7" t="str">
            <v>Scheduled Number of Payments</v>
          </cell>
          <cell r="H7">
            <v>108</v>
          </cell>
        </row>
        <row r="8">
          <cell r="C8" t="str">
            <v>Loan Period in Years</v>
          </cell>
          <cell r="D8">
            <v>9</v>
          </cell>
          <cell r="G8" t="str">
            <v>Actual Number of Payments</v>
          </cell>
          <cell r="H8">
            <v>101</v>
          </cell>
        </row>
        <row r="9">
          <cell r="C9" t="str">
            <v>Number of Payments Per Year</v>
          </cell>
          <cell r="D9">
            <v>12</v>
          </cell>
          <cell r="G9" t="str">
            <v>Total Early Payments</v>
          </cell>
          <cell r="H9">
            <v>43583.000000000109</v>
          </cell>
        </row>
        <row r="10">
          <cell r="C10" t="str">
            <v>Start Date of Loan</v>
          </cell>
          <cell r="D10">
            <v>39356</v>
          </cell>
          <cell r="G10" t="str">
            <v>Total Interest</v>
          </cell>
          <cell r="H10">
            <v>387430.68202092481</v>
          </cell>
        </row>
        <row r="11">
          <cell r="C11" t="str">
            <v>Optional Extra Payments</v>
          </cell>
          <cell r="D11">
            <v>435.83</v>
          </cell>
        </row>
        <row r="13">
          <cell r="B13" t="str">
            <v>Lender Name:</v>
          </cell>
          <cell r="C13" t="str">
            <v>B.Anuradha.</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row>
        <row r="18">
          <cell r="A18">
            <v>1</v>
          </cell>
          <cell r="B18">
            <v>39387</v>
          </cell>
          <cell r="C18">
            <v>700000</v>
          </cell>
          <cell r="D18">
            <v>10362.332177591948</v>
          </cell>
          <cell r="E18">
            <v>435.83</v>
          </cell>
          <cell r="F18">
            <v>10798.162177591948</v>
          </cell>
          <cell r="G18">
            <v>4194.8288442586154</v>
          </cell>
          <cell r="H18">
            <v>6603.333333333333</v>
          </cell>
          <cell r="I18">
            <v>695805.17115574144</v>
          </cell>
        </row>
        <row r="19">
          <cell r="A19">
            <v>2</v>
          </cell>
          <cell r="B19">
            <v>39417</v>
          </cell>
          <cell r="C19">
            <v>695805.17115574144</v>
          </cell>
          <cell r="D19">
            <v>10362.332177591948</v>
          </cell>
          <cell r="E19">
            <v>435.83</v>
          </cell>
          <cell r="F19">
            <v>10798.162177591948</v>
          </cell>
          <cell r="G19">
            <v>4234.4000630227883</v>
          </cell>
          <cell r="H19">
            <v>6563.7621145691601</v>
          </cell>
          <cell r="I19">
            <v>691570.7710927187</v>
          </cell>
        </row>
        <row r="20">
          <cell r="A20">
            <v>3</v>
          </cell>
          <cell r="B20">
            <v>39448</v>
          </cell>
          <cell r="C20">
            <v>691570.7710927187</v>
          </cell>
          <cell r="D20">
            <v>10362.332177591948</v>
          </cell>
          <cell r="E20">
            <v>435.83</v>
          </cell>
          <cell r="F20">
            <v>10798.162177591948</v>
          </cell>
          <cell r="G20">
            <v>4274.3445702839681</v>
          </cell>
          <cell r="H20">
            <v>6523.8176073079803</v>
          </cell>
          <cell r="I20">
            <v>687296.42652243469</v>
          </cell>
        </row>
        <row r="21">
          <cell r="A21">
            <v>4</v>
          </cell>
          <cell r="B21">
            <v>39479</v>
          </cell>
          <cell r="C21">
            <v>687296.42652243469</v>
          </cell>
          <cell r="D21">
            <v>10362.332177591948</v>
          </cell>
          <cell r="E21">
            <v>435.83</v>
          </cell>
          <cell r="F21">
            <v>10798.162177591948</v>
          </cell>
          <cell r="G21">
            <v>4314.6658873969818</v>
          </cell>
          <cell r="H21">
            <v>6483.4962901949666</v>
          </cell>
          <cell r="I21">
            <v>682981.76063503767</v>
          </cell>
        </row>
        <row r="22">
          <cell r="A22">
            <v>5</v>
          </cell>
          <cell r="B22">
            <v>39508</v>
          </cell>
          <cell r="C22">
            <v>682981.76063503767</v>
          </cell>
          <cell r="D22">
            <v>10362.332177591948</v>
          </cell>
          <cell r="E22">
            <v>435.83</v>
          </cell>
          <cell r="F22">
            <v>10798.162177591948</v>
          </cell>
          <cell r="G22">
            <v>4355.3675689347592</v>
          </cell>
          <cell r="H22">
            <v>6442.7946086571892</v>
          </cell>
          <cell r="I22">
            <v>678626.39306610287</v>
          </cell>
        </row>
        <row r="23">
          <cell r="A23">
            <v>6</v>
          </cell>
          <cell r="B23">
            <v>39539</v>
          </cell>
          <cell r="C23">
            <v>678626.39306610287</v>
          </cell>
          <cell r="D23">
            <v>10362.332177591948</v>
          </cell>
          <cell r="E23">
            <v>435.83</v>
          </cell>
          <cell r="F23">
            <v>10798.162177591948</v>
          </cell>
          <cell r="G23">
            <v>4396.4532030017117</v>
          </cell>
          <cell r="H23">
            <v>6401.7089745902367</v>
          </cell>
          <cell r="I23">
            <v>674229.93986310111</v>
          </cell>
        </row>
        <row r="24">
          <cell r="A24">
            <v>7</v>
          </cell>
          <cell r="B24">
            <v>39569</v>
          </cell>
          <cell r="C24">
            <v>674229.93986310111</v>
          </cell>
          <cell r="D24">
            <v>10362.332177591948</v>
          </cell>
          <cell r="E24">
            <v>435.83</v>
          </cell>
          <cell r="F24">
            <v>10798.162177591948</v>
          </cell>
          <cell r="G24">
            <v>4437.9264115500273</v>
          </cell>
          <cell r="H24">
            <v>6360.2357660419211</v>
          </cell>
          <cell r="I24">
            <v>669792.01345155109</v>
          </cell>
        </row>
        <row r="25">
          <cell r="A25">
            <v>8</v>
          </cell>
          <cell r="B25">
            <v>39600</v>
          </cell>
          <cell r="C25">
            <v>669792.01345155109</v>
          </cell>
          <cell r="D25">
            <v>10362.332177591948</v>
          </cell>
          <cell r="E25">
            <v>435.83</v>
          </cell>
          <cell r="F25">
            <v>10798.162177591948</v>
          </cell>
          <cell r="G25">
            <v>4479.7908506989834</v>
          </cell>
          <cell r="H25">
            <v>6318.371326892965</v>
          </cell>
          <cell r="I25">
            <v>665312.22260085214</v>
          </cell>
        </row>
        <row r="26">
          <cell r="A26">
            <v>9</v>
          </cell>
          <cell r="B26">
            <v>39630</v>
          </cell>
          <cell r="C26">
            <v>665312.22260085214</v>
          </cell>
          <cell r="D26">
            <v>10362.332177591948</v>
          </cell>
          <cell r="E26">
            <v>435.83</v>
          </cell>
          <cell r="F26">
            <v>10798.162177591948</v>
          </cell>
          <cell r="G26">
            <v>4522.0502110572443</v>
          </cell>
          <cell r="H26">
            <v>6276.1119665347042</v>
          </cell>
          <cell r="I26">
            <v>660790.17238979484</v>
          </cell>
        </row>
        <row r="27">
          <cell r="A27">
            <v>10</v>
          </cell>
          <cell r="B27">
            <v>39661</v>
          </cell>
          <cell r="C27">
            <v>660790.17238979484</v>
          </cell>
          <cell r="D27">
            <v>10362.332177591948</v>
          </cell>
          <cell r="E27">
            <v>435.83</v>
          </cell>
          <cell r="F27">
            <v>10798.162177591948</v>
          </cell>
          <cell r="G27">
            <v>4564.7082180482175</v>
          </cell>
          <cell r="H27">
            <v>6233.4539595437309</v>
          </cell>
          <cell r="I27">
            <v>656225.46417174663</v>
          </cell>
        </row>
        <row r="28">
          <cell r="A28">
            <v>11</v>
          </cell>
          <cell r="B28">
            <v>39692</v>
          </cell>
          <cell r="C28">
            <v>656225.46417174663</v>
          </cell>
          <cell r="D28">
            <v>10362.332177591948</v>
          </cell>
          <cell r="E28">
            <v>435.83</v>
          </cell>
          <cell r="F28">
            <v>10798.162177591948</v>
          </cell>
          <cell r="G28">
            <v>4607.7686322384725</v>
          </cell>
          <cell r="H28">
            <v>6190.3935453534759</v>
          </cell>
          <cell r="I28">
            <v>651617.69553950813</v>
          </cell>
        </row>
        <row r="29">
          <cell r="A29">
            <v>12</v>
          </cell>
          <cell r="B29">
            <v>39722</v>
          </cell>
          <cell r="C29">
            <v>651617.69553950813</v>
          </cell>
          <cell r="D29">
            <v>10362.332177591948</v>
          </cell>
          <cell r="E29">
            <v>435.83</v>
          </cell>
          <cell r="F29">
            <v>10798.162177591948</v>
          </cell>
          <cell r="G29">
            <v>4651.2352496692556</v>
          </cell>
          <cell r="H29">
            <v>6146.9269279226928</v>
          </cell>
          <cell r="I29">
            <v>646966.46028983884</v>
          </cell>
        </row>
        <row r="30">
          <cell r="A30">
            <v>13</v>
          </cell>
          <cell r="B30">
            <v>39753</v>
          </cell>
          <cell r="C30">
            <v>646966.46028983884</v>
          </cell>
          <cell r="D30">
            <v>10362.332177591948</v>
          </cell>
          <cell r="E30">
            <v>435.83</v>
          </cell>
          <cell r="F30">
            <v>10798.162177591948</v>
          </cell>
          <cell r="G30">
            <v>4695.1119021911354</v>
          </cell>
          <cell r="H30">
            <v>6103.050275400813</v>
          </cell>
          <cell r="I30">
            <v>642271.34838764765</v>
          </cell>
        </row>
        <row r="31">
          <cell r="A31">
            <v>14</v>
          </cell>
          <cell r="B31">
            <v>39783</v>
          </cell>
          <cell r="C31">
            <v>642271.34838764765</v>
          </cell>
          <cell r="D31">
            <v>10362.332177591948</v>
          </cell>
          <cell r="E31">
            <v>435.83</v>
          </cell>
          <cell r="F31">
            <v>10798.162177591948</v>
          </cell>
          <cell r="G31">
            <v>4739.4024578018061</v>
          </cell>
          <cell r="H31">
            <v>6058.7597197901423</v>
          </cell>
          <cell r="I31">
            <v>637531.9459298458</v>
          </cell>
        </row>
        <row r="32">
          <cell r="A32">
            <v>15</v>
          </cell>
          <cell r="B32">
            <v>39814</v>
          </cell>
          <cell r="C32">
            <v>637531.9459298458</v>
          </cell>
          <cell r="D32">
            <v>10362.332177591948</v>
          </cell>
          <cell r="E32">
            <v>435.83</v>
          </cell>
          <cell r="F32">
            <v>10798.162177591948</v>
          </cell>
          <cell r="G32">
            <v>4784.1108209870699</v>
          </cell>
          <cell r="H32">
            <v>6014.0513566048785</v>
          </cell>
          <cell r="I32">
            <v>632747.83510885877</v>
          </cell>
        </row>
        <row r="33">
          <cell r="A33">
            <v>16</v>
          </cell>
          <cell r="B33">
            <v>39845</v>
          </cell>
          <cell r="C33">
            <v>632747.83510885877</v>
          </cell>
          <cell r="D33">
            <v>10362.332177591948</v>
          </cell>
          <cell r="E33">
            <v>435.83</v>
          </cell>
          <cell r="F33">
            <v>10798.162177591948</v>
          </cell>
          <cell r="G33">
            <v>4829.240933065048</v>
          </cell>
          <cell r="H33">
            <v>5968.9212445269004</v>
          </cell>
          <cell r="I33">
            <v>627918.5941757937</v>
          </cell>
        </row>
        <row r="34">
          <cell r="A34">
            <v>17</v>
          </cell>
          <cell r="B34">
            <v>39873</v>
          </cell>
          <cell r="C34">
            <v>627918.5941757937</v>
          </cell>
          <cell r="D34">
            <v>10362.332177591948</v>
          </cell>
          <cell r="E34">
            <v>435.83</v>
          </cell>
          <cell r="F34">
            <v>10798.162177591948</v>
          </cell>
          <cell r="G34">
            <v>4874.7967725336284</v>
          </cell>
          <cell r="H34">
            <v>5923.36540505832</v>
          </cell>
          <cell r="I34">
            <v>623043.79740326002</v>
          </cell>
        </row>
        <row r="35">
          <cell r="A35">
            <v>18</v>
          </cell>
          <cell r="B35">
            <v>39904</v>
          </cell>
          <cell r="C35">
            <v>623043.79740326002</v>
          </cell>
          <cell r="D35">
            <v>10362.332177591948</v>
          </cell>
          <cell r="E35">
            <v>435.83</v>
          </cell>
          <cell r="F35">
            <v>10798.162177591948</v>
          </cell>
          <cell r="G35">
            <v>4920.7823554211964</v>
          </cell>
          <cell r="H35">
            <v>5877.379822170752</v>
          </cell>
          <cell r="I35">
            <v>618123.01504783879</v>
          </cell>
        </row>
        <row r="36">
          <cell r="A36">
            <v>19</v>
          </cell>
          <cell r="B36">
            <v>39934</v>
          </cell>
          <cell r="C36">
            <v>618123.01504783879</v>
          </cell>
          <cell r="D36">
            <v>10362.332177591948</v>
          </cell>
          <cell r="E36">
            <v>435.83</v>
          </cell>
          <cell r="F36">
            <v>10798.162177591948</v>
          </cell>
          <cell r="G36">
            <v>4967.2017356406695</v>
          </cell>
          <cell r="H36">
            <v>5830.9604419512789</v>
          </cell>
          <cell r="I36">
            <v>613155.81331219815</v>
          </cell>
        </row>
        <row r="37">
          <cell r="A37">
            <v>20</v>
          </cell>
          <cell r="B37">
            <v>39965</v>
          </cell>
          <cell r="C37">
            <v>613155.81331219815</v>
          </cell>
          <cell r="D37">
            <v>10362.332177591948</v>
          </cell>
          <cell r="E37">
            <v>435.83</v>
          </cell>
          <cell r="F37">
            <v>10798.162177591948</v>
          </cell>
          <cell r="G37">
            <v>5014.0590053468795</v>
          </cell>
          <cell r="H37">
            <v>5784.1031722450689</v>
          </cell>
          <cell r="I37">
            <v>608141.7543068513</v>
          </cell>
        </row>
        <row r="38">
          <cell r="A38">
            <v>21</v>
          </cell>
          <cell r="B38">
            <v>39995</v>
          </cell>
          <cell r="C38">
            <v>608141.7543068513</v>
          </cell>
          <cell r="D38">
            <v>10362.332177591948</v>
          </cell>
          <cell r="E38">
            <v>435.83</v>
          </cell>
          <cell r="F38">
            <v>10798.162177591948</v>
          </cell>
          <cell r="G38">
            <v>5061.3582952973184</v>
          </cell>
          <cell r="H38">
            <v>5736.8038822946301</v>
          </cell>
          <cell r="I38">
            <v>603080.39601155394</v>
          </cell>
        </row>
        <row r="39">
          <cell r="A39">
            <v>22</v>
          </cell>
          <cell r="B39">
            <v>40026</v>
          </cell>
          <cell r="C39">
            <v>603080.39601155394</v>
          </cell>
          <cell r="D39">
            <v>10362.332177591948</v>
          </cell>
          <cell r="E39">
            <v>435.83</v>
          </cell>
          <cell r="F39">
            <v>10798.162177591948</v>
          </cell>
          <cell r="G39">
            <v>5109.1037752162893</v>
          </cell>
          <cell r="H39">
            <v>5689.0584023756592</v>
          </cell>
          <cell r="I39">
            <v>597971.29223633767</v>
          </cell>
        </row>
        <row r="40">
          <cell r="A40">
            <v>23</v>
          </cell>
          <cell r="B40">
            <v>40057</v>
          </cell>
          <cell r="C40">
            <v>597971.29223633767</v>
          </cell>
          <cell r="D40">
            <v>10362.332177591948</v>
          </cell>
          <cell r="E40">
            <v>435.83</v>
          </cell>
          <cell r="F40">
            <v>10798.162177591948</v>
          </cell>
          <cell r="G40">
            <v>5157.2996541624962</v>
          </cell>
          <cell r="H40">
            <v>5640.8625234294523</v>
          </cell>
          <cell r="I40">
            <v>592813.99258217518</v>
          </cell>
        </row>
        <row r="41">
          <cell r="A41">
            <v>24</v>
          </cell>
          <cell r="B41">
            <v>40087</v>
          </cell>
          <cell r="C41">
            <v>592813.99258217518</v>
          </cell>
          <cell r="D41">
            <v>10362.332177591948</v>
          </cell>
          <cell r="E41">
            <v>435.83</v>
          </cell>
          <cell r="F41">
            <v>10798.162177591948</v>
          </cell>
          <cell r="G41">
            <v>5205.9501809000967</v>
          </cell>
          <cell r="H41">
            <v>5592.2119966918517</v>
          </cell>
          <cell r="I41">
            <v>587608.04240127513</v>
          </cell>
        </row>
        <row r="42">
          <cell r="A42">
            <v>25</v>
          </cell>
          <cell r="B42">
            <v>40118</v>
          </cell>
          <cell r="C42">
            <v>587608.04240127513</v>
          </cell>
          <cell r="D42">
            <v>10362.332177591948</v>
          </cell>
          <cell r="E42">
            <v>435.83</v>
          </cell>
          <cell r="F42">
            <v>10798.162177591948</v>
          </cell>
          <cell r="G42">
            <v>5255.0596442732531</v>
          </cell>
          <cell r="H42">
            <v>5543.1025333186954</v>
          </cell>
          <cell r="I42">
            <v>582352.98275700188</v>
          </cell>
        </row>
        <row r="43">
          <cell r="A43">
            <v>26</v>
          </cell>
          <cell r="B43">
            <v>40148</v>
          </cell>
          <cell r="C43">
            <v>582352.98275700188</v>
          </cell>
          <cell r="D43">
            <v>10362.332177591948</v>
          </cell>
          <cell r="E43">
            <v>435.83</v>
          </cell>
          <cell r="F43">
            <v>10798.162177591948</v>
          </cell>
          <cell r="G43">
            <v>5304.6323735842307</v>
          </cell>
          <cell r="H43">
            <v>5493.5298040077178</v>
          </cell>
          <cell r="I43">
            <v>577048.35038341768</v>
          </cell>
        </row>
        <row r="44">
          <cell r="A44">
            <v>27</v>
          </cell>
          <cell r="B44">
            <v>40179</v>
          </cell>
          <cell r="C44">
            <v>577048.35038341768</v>
          </cell>
          <cell r="D44">
            <v>10362.332177591948</v>
          </cell>
          <cell r="E44">
            <v>435.83</v>
          </cell>
          <cell r="F44">
            <v>10798.162177591948</v>
          </cell>
          <cell r="G44">
            <v>5354.6727389750422</v>
          </cell>
          <cell r="H44">
            <v>5443.4894386169062</v>
          </cell>
          <cell r="I44">
            <v>571693.67764444265</v>
          </cell>
        </row>
        <row r="45">
          <cell r="A45">
            <v>28</v>
          </cell>
          <cell r="B45">
            <v>40210</v>
          </cell>
          <cell r="C45">
            <v>571693.67764444265</v>
          </cell>
          <cell r="D45">
            <v>10362.332177591948</v>
          </cell>
          <cell r="E45">
            <v>435.83</v>
          </cell>
          <cell r="F45">
            <v>10798.162177591948</v>
          </cell>
          <cell r="G45">
            <v>5405.1851518127069</v>
          </cell>
          <cell r="H45">
            <v>5392.9770257792416</v>
          </cell>
          <cell r="I45">
            <v>566288.49249262991</v>
          </cell>
        </row>
        <row r="46">
          <cell r="A46">
            <v>29</v>
          </cell>
          <cell r="B46">
            <v>40238</v>
          </cell>
          <cell r="C46">
            <v>566288.49249262991</v>
          </cell>
          <cell r="D46">
            <v>10362.332177591948</v>
          </cell>
          <cell r="E46">
            <v>435.83</v>
          </cell>
          <cell r="F46">
            <v>10798.162177591948</v>
          </cell>
          <cell r="G46">
            <v>5456.1740650781403</v>
          </cell>
          <cell r="H46">
            <v>5341.9881125138081</v>
          </cell>
          <cell r="I46">
            <v>560832.31842755177</v>
          </cell>
        </row>
        <row r="47">
          <cell r="A47">
            <v>30</v>
          </cell>
          <cell r="B47">
            <v>40269</v>
          </cell>
          <cell r="C47">
            <v>560832.31842755177</v>
          </cell>
          <cell r="D47">
            <v>10362.332177591948</v>
          </cell>
          <cell r="E47">
            <v>435.83</v>
          </cell>
          <cell r="F47">
            <v>10798.162177591948</v>
          </cell>
          <cell r="G47">
            <v>5507.6439737587107</v>
          </cell>
          <cell r="H47">
            <v>5290.5182038332377</v>
          </cell>
          <cell r="I47">
            <v>555324.67445379309</v>
          </cell>
        </row>
        <row r="48">
          <cell r="A48">
            <v>31</v>
          </cell>
          <cell r="B48">
            <v>40299</v>
          </cell>
          <cell r="C48">
            <v>555324.67445379309</v>
          </cell>
          <cell r="D48">
            <v>10362.332177591948</v>
          </cell>
          <cell r="E48">
            <v>435.83</v>
          </cell>
          <cell r="F48">
            <v>10798.162177591948</v>
          </cell>
          <cell r="G48">
            <v>5559.599415244501</v>
          </cell>
          <cell r="H48">
            <v>5238.5627623474475</v>
          </cell>
          <cell r="I48">
            <v>549765.07503854856</v>
          </cell>
        </row>
        <row r="49">
          <cell r="A49">
            <v>32</v>
          </cell>
          <cell r="B49">
            <v>40330</v>
          </cell>
          <cell r="C49">
            <v>549765.07503854856</v>
          </cell>
          <cell r="D49">
            <v>10362.332177591948</v>
          </cell>
          <cell r="E49">
            <v>435.83</v>
          </cell>
          <cell r="F49">
            <v>10798.162177591948</v>
          </cell>
          <cell r="G49">
            <v>5612.0449697283075</v>
          </cell>
          <cell r="H49">
            <v>5186.1172078636409</v>
          </cell>
          <cell r="I49">
            <v>544153.03006882023</v>
          </cell>
        </row>
        <row r="50">
          <cell r="A50">
            <v>33</v>
          </cell>
          <cell r="B50">
            <v>40360</v>
          </cell>
          <cell r="C50">
            <v>544153.03006882023</v>
          </cell>
          <cell r="D50">
            <v>10362.332177591948</v>
          </cell>
          <cell r="E50">
            <v>435.83</v>
          </cell>
          <cell r="F50">
            <v>10798.162177591948</v>
          </cell>
          <cell r="G50">
            <v>5664.9852606094109</v>
          </cell>
          <cell r="H50">
            <v>5133.1769169825375</v>
          </cell>
          <cell r="I50">
            <v>538488.04480821081</v>
          </cell>
        </row>
        <row r="51">
          <cell r="A51">
            <v>34</v>
          </cell>
          <cell r="B51">
            <v>40391</v>
          </cell>
          <cell r="C51">
            <v>538488.04480821081</v>
          </cell>
          <cell r="D51">
            <v>10362.332177591948</v>
          </cell>
          <cell r="E51">
            <v>435.83</v>
          </cell>
          <cell r="F51">
            <v>10798.162177591948</v>
          </cell>
          <cell r="G51">
            <v>5718.4249549011602</v>
          </cell>
          <cell r="H51">
            <v>5079.7372226907883</v>
          </cell>
          <cell r="I51">
            <v>532769.61985330959</v>
          </cell>
        </row>
        <row r="52">
          <cell r="A52">
            <v>35</v>
          </cell>
          <cell r="B52">
            <v>40422</v>
          </cell>
          <cell r="C52">
            <v>532769.61985330959</v>
          </cell>
          <cell r="D52">
            <v>10362.332177591948</v>
          </cell>
          <cell r="E52">
            <v>435.83</v>
          </cell>
          <cell r="F52">
            <v>10798.162177591948</v>
          </cell>
          <cell r="G52">
            <v>5772.3687636423947</v>
          </cell>
          <cell r="H52">
            <v>5025.7934139495537</v>
          </cell>
          <cell r="I52">
            <v>526997.2510896672</v>
          </cell>
        </row>
        <row r="53">
          <cell r="A53">
            <v>36</v>
          </cell>
          <cell r="B53">
            <v>40452</v>
          </cell>
          <cell r="C53">
            <v>526997.2510896672</v>
          </cell>
          <cell r="D53">
            <v>10362.332177591948</v>
          </cell>
          <cell r="E53">
            <v>435.83</v>
          </cell>
          <cell r="F53">
            <v>10798.162177591948</v>
          </cell>
          <cell r="G53">
            <v>5826.8214423127547</v>
          </cell>
          <cell r="H53">
            <v>4971.3407352791937</v>
          </cell>
          <cell r="I53">
            <v>521170.42964735447</v>
          </cell>
        </row>
        <row r="54">
          <cell r="A54">
            <v>37</v>
          </cell>
          <cell r="B54">
            <v>40483</v>
          </cell>
          <cell r="C54">
            <v>521170.42964735447</v>
          </cell>
          <cell r="D54">
            <v>10362.332177591948</v>
          </cell>
          <cell r="E54">
            <v>435.83</v>
          </cell>
          <cell r="F54">
            <v>10798.162177591948</v>
          </cell>
          <cell r="G54">
            <v>5881.7877912519043</v>
          </cell>
          <cell r="H54">
            <v>4916.3743863400441</v>
          </cell>
          <cell r="I54">
            <v>515288.64185610256</v>
          </cell>
        </row>
        <row r="55">
          <cell r="A55">
            <v>38</v>
          </cell>
          <cell r="B55">
            <v>40513</v>
          </cell>
          <cell r="C55">
            <v>515288.64185610256</v>
          </cell>
          <cell r="D55">
            <v>10362.332177591948</v>
          </cell>
          <cell r="E55">
            <v>435.83</v>
          </cell>
          <cell r="F55">
            <v>10798.162177591948</v>
          </cell>
          <cell r="G55">
            <v>5937.272656082715</v>
          </cell>
          <cell r="H55">
            <v>4860.8895215092334</v>
          </cell>
          <cell r="I55">
            <v>509351.36920001986</v>
          </cell>
        </row>
        <row r="56">
          <cell r="A56">
            <v>39</v>
          </cell>
          <cell r="B56">
            <v>40544</v>
          </cell>
          <cell r="C56">
            <v>509351.36920001986</v>
          </cell>
          <cell r="D56">
            <v>10362.332177591948</v>
          </cell>
          <cell r="E56">
            <v>435.83</v>
          </cell>
          <cell r="F56">
            <v>10798.162177591948</v>
          </cell>
          <cell r="G56">
            <v>5993.280928138428</v>
          </cell>
          <cell r="H56">
            <v>4804.8812494535205</v>
          </cell>
          <cell r="I56">
            <v>503358.08827188145</v>
          </cell>
        </row>
        <row r="57">
          <cell r="A57">
            <v>40</v>
          </cell>
          <cell r="B57">
            <v>40575</v>
          </cell>
          <cell r="C57">
            <v>503358.08827188145</v>
          </cell>
          <cell r="D57">
            <v>10362.332177591948</v>
          </cell>
          <cell r="E57">
            <v>435.83</v>
          </cell>
          <cell r="F57">
            <v>10798.162177591948</v>
          </cell>
          <cell r="G57">
            <v>6049.8175448938664</v>
          </cell>
          <cell r="H57">
            <v>4748.344632698082</v>
          </cell>
          <cell r="I57">
            <v>497308.27072698757</v>
          </cell>
        </row>
        <row r="58">
          <cell r="A58">
            <v>41</v>
          </cell>
          <cell r="B58">
            <v>40603</v>
          </cell>
          <cell r="C58">
            <v>497308.27072698757</v>
          </cell>
          <cell r="D58">
            <v>10362.332177591948</v>
          </cell>
          <cell r="E58">
            <v>435.83</v>
          </cell>
          <cell r="F58">
            <v>10798.162177591948</v>
          </cell>
          <cell r="G58">
            <v>6106.8874904006998</v>
          </cell>
          <cell r="H58">
            <v>4691.2746871912486</v>
          </cell>
          <cell r="I58">
            <v>491201.38323658687</v>
          </cell>
        </row>
        <row r="59">
          <cell r="A59">
            <v>42</v>
          </cell>
          <cell r="B59">
            <v>40634</v>
          </cell>
          <cell r="C59">
            <v>491201.38323658687</v>
          </cell>
          <cell r="D59">
            <v>10362.332177591948</v>
          </cell>
          <cell r="E59">
            <v>435.83</v>
          </cell>
          <cell r="F59">
            <v>10798.162177591948</v>
          </cell>
          <cell r="G59">
            <v>6164.4957957268125</v>
          </cell>
          <cell r="H59">
            <v>4633.6663818651359</v>
          </cell>
          <cell r="I59">
            <v>485036.88744086004</v>
          </cell>
        </row>
        <row r="60">
          <cell r="A60">
            <v>43</v>
          </cell>
          <cell r="B60">
            <v>40664</v>
          </cell>
          <cell r="C60">
            <v>485036.88744086004</v>
          </cell>
          <cell r="D60">
            <v>10362.332177591948</v>
          </cell>
          <cell r="E60">
            <v>435.83</v>
          </cell>
          <cell r="F60">
            <v>10798.162177591948</v>
          </cell>
          <cell r="G60">
            <v>6222.6475393998353</v>
          </cell>
          <cell r="H60">
            <v>4575.5146381921131</v>
          </cell>
          <cell r="I60">
            <v>478814.23990146018</v>
          </cell>
        </row>
        <row r="61">
          <cell r="A61">
            <v>44</v>
          </cell>
          <cell r="B61">
            <v>40695</v>
          </cell>
          <cell r="C61">
            <v>478814.23990146018</v>
          </cell>
          <cell r="D61">
            <v>10362.332177591948</v>
          </cell>
          <cell r="E61">
            <v>435.83</v>
          </cell>
          <cell r="F61">
            <v>10798.162177591948</v>
          </cell>
          <cell r="G61">
            <v>6281.3478478548413</v>
          </cell>
          <cell r="H61">
            <v>4516.8143297371071</v>
          </cell>
          <cell r="I61">
            <v>472532.89205360535</v>
          </cell>
        </row>
        <row r="62">
          <cell r="A62">
            <v>45</v>
          </cell>
          <cell r="B62">
            <v>40725</v>
          </cell>
          <cell r="C62">
            <v>472532.89205360535</v>
          </cell>
          <cell r="D62">
            <v>10362.332177591948</v>
          </cell>
          <cell r="E62">
            <v>435.83</v>
          </cell>
          <cell r="F62">
            <v>10798.162177591948</v>
          </cell>
          <cell r="G62">
            <v>6340.6018958862714</v>
          </cell>
          <cell r="H62">
            <v>4457.560281705677</v>
          </cell>
          <cell r="I62">
            <v>466192.29015771905</v>
          </cell>
        </row>
        <row r="63">
          <cell r="A63">
            <v>46</v>
          </cell>
          <cell r="B63">
            <v>40756</v>
          </cell>
          <cell r="C63">
            <v>466192.29015771905</v>
          </cell>
          <cell r="D63">
            <v>10362.332177591948</v>
          </cell>
          <cell r="E63">
            <v>435.83</v>
          </cell>
          <cell r="F63">
            <v>10798.162177591948</v>
          </cell>
          <cell r="G63">
            <v>6400.414907104132</v>
          </cell>
          <cell r="H63">
            <v>4397.7472704878164</v>
          </cell>
          <cell r="I63">
            <v>459791.87525061495</v>
          </cell>
        </row>
        <row r="64">
          <cell r="A64">
            <v>47</v>
          </cell>
          <cell r="B64">
            <v>40787</v>
          </cell>
          <cell r="C64">
            <v>459791.87525061495</v>
          </cell>
          <cell r="D64">
            <v>10362.332177591948</v>
          </cell>
          <cell r="E64">
            <v>435.83</v>
          </cell>
          <cell r="F64">
            <v>10798.162177591948</v>
          </cell>
          <cell r="G64">
            <v>6460.7921543944803</v>
          </cell>
          <cell r="H64">
            <v>4337.3700231974681</v>
          </cell>
          <cell r="I64">
            <v>453331.08309622045</v>
          </cell>
        </row>
        <row r="65">
          <cell r="A65">
            <v>48</v>
          </cell>
          <cell r="B65">
            <v>40817</v>
          </cell>
          <cell r="C65">
            <v>453331.08309622045</v>
          </cell>
          <cell r="D65">
            <v>10362.332177591948</v>
          </cell>
          <cell r="E65">
            <v>435.83</v>
          </cell>
          <cell r="F65">
            <v>10798.162177591948</v>
          </cell>
          <cell r="G65">
            <v>6521.7389603842685</v>
          </cell>
          <cell r="H65">
            <v>4276.42321720768</v>
          </cell>
          <cell r="I65">
            <v>446809.34413583617</v>
          </cell>
        </row>
        <row r="66">
          <cell r="A66">
            <v>49</v>
          </cell>
          <cell r="B66">
            <v>40848</v>
          </cell>
          <cell r="C66">
            <v>446809.34413583617</v>
          </cell>
          <cell r="D66">
            <v>10362.332177591948</v>
          </cell>
          <cell r="E66">
            <v>435.83</v>
          </cell>
          <cell r="F66">
            <v>10798.162177591948</v>
          </cell>
          <cell r="G66">
            <v>6583.2606979105612</v>
          </cell>
          <cell r="H66">
            <v>4214.9014796813872</v>
          </cell>
          <cell r="I66">
            <v>440226.08343792561</v>
          </cell>
        </row>
        <row r="67">
          <cell r="A67">
            <v>50</v>
          </cell>
          <cell r="B67">
            <v>40878</v>
          </cell>
          <cell r="C67">
            <v>440226.08343792561</v>
          </cell>
          <cell r="D67">
            <v>10362.332177591948</v>
          </cell>
          <cell r="E67">
            <v>435.83</v>
          </cell>
          <cell r="F67">
            <v>10798.162177591948</v>
          </cell>
          <cell r="G67">
            <v>6645.3627904941832</v>
          </cell>
          <cell r="H67">
            <v>4152.7993870977652</v>
          </cell>
          <cell r="I67">
            <v>433580.72064743144</v>
          </cell>
        </row>
        <row r="68">
          <cell r="A68">
            <v>51</v>
          </cell>
          <cell r="B68">
            <v>40909</v>
          </cell>
          <cell r="C68">
            <v>433580.72064743144</v>
          </cell>
          <cell r="D68">
            <v>10362.332177591948</v>
          </cell>
          <cell r="E68">
            <v>435.83</v>
          </cell>
          <cell r="F68">
            <v>10798.162177591948</v>
          </cell>
          <cell r="G68">
            <v>6708.0507128178451</v>
          </cell>
          <cell r="H68">
            <v>4090.1114647741033</v>
          </cell>
          <cell r="I68">
            <v>426872.66993461357</v>
          </cell>
        </row>
        <row r="69">
          <cell r="A69">
            <v>52</v>
          </cell>
          <cell r="B69">
            <v>40940</v>
          </cell>
          <cell r="C69">
            <v>426872.66993461357</v>
          </cell>
          <cell r="D69">
            <v>10362.332177591948</v>
          </cell>
          <cell r="E69">
            <v>435.83</v>
          </cell>
          <cell r="F69">
            <v>10798.162177591948</v>
          </cell>
          <cell r="G69">
            <v>6771.3299912087605</v>
          </cell>
          <cell r="H69">
            <v>4026.8321863831879</v>
          </cell>
          <cell r="I69">
            <v>420101.33994340483</v>
          </cell>
        </row>
        <row r="70">
          <cell r="A70">
            <v>53</v>
          </cell>
          <cell r="B70">
            <v>40969</v>
          </cell>
          <cell r="C70">
            <v>420101.33994340483</v>
          </cell>
          <cell r="D70">
            <v>10362.332177591948</v>
          </cell>
          <cell r="E70">
            <v>435.83</v>
          </cell>
          <cell r="F70">
            <v>10798.162177591948</v>
          </cell>
          <cell r="G70">
            <v>6835.2062041258305</v>
          </cell>
          <cell r="H70">
            <v>3962.9559734661184</v>
          </cell>
          <cell r="I70">
            <v>413266.133739279</v>
          </cell>
        </row>
        <row r="71">
          <cell r="A71">
            <v>54</v>
          </cell>
          <cell r="B71">
            <v>41000</v>
          </cell>
          <cell r="C71">
            <v>413266.133739279</v>
          </cell>
          <cell r="D71">
            <v>10362.332177591948</v>
          </cell>
          <cell r="E71">
            <v>435.83</v>
          </cell>
          <cell r="F71">
            <v>10798.162177591948</v>
          </cell>
          <cell r="G71">
            <v>6899.6849826514172</v>
          </cell>
          <cell r="H71">
            <v>3898.4771949405317</v>
          </cell>
          <cell r="I71">
            <v>406366.44875662756</v>
          </cell>
        </row>
        <row r="72">
          <cell r="A72">
            <v>55</v>
          </cell>
          <cell r="B72">
            <v>41030</v>
          </cell>
          <cell r="C72">
            <v>406366.44875662756</v>
          </cell>
          <cell r="D72">
            <v>10362.332177591948</v>
          </cell>
          <cell r="E72">
            <v>435.83</v>
          </cell>
          <cell r="F72">
            <v>10798.162177591948</v>
          </cell>
          <cell r="G72">
            <v>6964.7720109877628</v>
          </cell>
          <cell r="H72">
            <v>3833.3901666041861</v>
          </cell>
          <cell r="I72">
            <v>399401.67674563982</v>
          </cell>
        </row>
        <row r="73">
          <cell r="A73">
            <v>56</v>
          </cell>
          <cell r="B73">
            <v>41061</v>
          </cell>
          <cell r="C73">
            <v>399401.67674563982</v>
          </cell>
          <cell r="D73">
            <v>10362.332177591948</v>
          </cell>
          <cell r="E73">
            <v>435.83</v>
          </cell>
          <cell r="F73">
            <v>10798.162177591948</v>
          </cell>
          <cell r="G73">
            <v>7030.4730269580796</v>
          </cell>
          <cell r="H73">
            <v>3767.6891506338688</v>
          </cell>
          <cell r="I73">
            <v>392371.20371868176</v>
          </cell>
        </row>
        <row r="74">
          <cell r="A74">
            <v>57</v>
          </cell>
          <cell r="B74">
            <v>41091</v>
          </cell>
          <cell r="C74">
            <v>392371.20371868176</v>
          </cell>
          <cell r="D74">
            <v>10362.332177591948</v>
          </cell>
          <cell r="E74">
            <v>435.83</v>
          </cell>
          <cell r="F74">
            <v>10798.162177591948</v>
          </cell>
          <cell r="G74">
            <v>7096.7938225123835</v>
          </cell>
          <cell r="H74">
            <v>3701.3683550795645</v>
          </cell>
          <cell r="I74">
            <v>385274.40989616938</v>
          </cell>
        </row>
        <row r="75">
          <cell r="A75">
            <v>58</v>
          </cell>
          <cell r="B75">
            <v>41122</v>
          </cell>
          <cell r="C75">
            <v>385274.40989616938</v>
          </cell>
          <cell r="D75">
            <v>10362.332177591948</v>
          </cell>
          <cell r="E75">
            <v>435.83</v>
          </cell>
          <cell r="F75">
            <v>10798.162177591948</v>
          </cell>
          <cell r="G75">
            <v>7163.7402442380844</v>
          </cell>
          <cell r="H75">
            <v>3634.4219333538645</v>
          </cell>
          <cell r="I75">
            <v>378110.66965193127</v>
          </cell>
        </row>
        <row r="76">
          <cell r="A76">
            <v>59</v>
          </cell>
          <cell r="B76">
            <v>41153</v>
          </cell>
          <cell r="C76">
            <v>378110.66965193127</v>
          </cell>
          <cell r="D76">
            <v>10362.332177591948</v>
          </cell>
          <cell r="E76">
            <v>435.83</v>
          </cell>
          <cell r="F76">
            <v>10798.162177591948</v>
          </cell>
          <cell r="G76">
            <v>7231.3181938753969</v>
          </cell>
          <cell r="H76">
            <v>3566.8439837165515</v>
          </cell>
          <cell r="I76">
            <v>370879.3514580559</v>
          </cell>
        </row>
        <row r="77">
          <cell r="A77">
            <v>60</v>
          </cell>
          <cell r="B77">
            <v>41183</v>
          </cell>
          <cell r="C77">
            <v>370879.3514580559</v>
          </cell>
          <cell r="D77">
            <v>10362.332177591948</v>
          </cell>
          <cell r="E77">
            <v>435.83</v>
          </cell>
          <cell r="F77">
            <v>10798.162177591948</v>
          </cell>
          <cell r="G77">
            <v>7299.533628837622</v>
          </cell>
          <cell r="H77">
            <v>3498.6285487543269</v>
          </cell>
          <cell r="I77">
            <v>363579.81782921829</v>
          </cell>
        </row>
        <row r="78">
          <cell r="A78">
            <v>61</v>
          </cell>
          <cell r="B78">
            <v>41214</v>
          </cell>
          <cell r="C78">
            <v>363579.81782921829</v>
          </cell>
          <cell r="D78">
            <v>10362.332177591948</v>
          </cell>
          <cell r="E78">
            <v>435.83</v>
          </cell>
          <cell r="F78">
            <v>10798.162177591948</v>
          </cell>
          <cell r="G78">
            <v>7368.3925627363224</v>
          </cell>
          <cell r="H78">
            <v>3429.7696148556256</v>
          </cell>
          <cell r="I78">
            <v>356211.42526648194</v>
          </cell>
        </row>
        <row r="79">
          <cell r="A79">
            <v>62</v>
          </cell>
          <cell r="B79">
            <v>41244</v>
          </cell>
          <cell r="C79">
            <v>356211.42526648194</v>
          </cell>
          <cell r="D79">
            <v>10362.332177591948</v>
          </cell>
          <cell r="E79">
            <v>435.83</v>
          </cell>
          <cell r="F79">
            <v>10798.162177591948</v>
          </cell>
          <cell r="G79">
            <v>7437.9010659114683</v>
          </cell>
          <cell r="H79">
            <v>3360.2611116804796</v>
          </cell>
          <cell r="I79">
            <v>348773.52420057048</v>
          </cell>
        </row>
        <row r="80">
          <cell r="A80">
            <v>63</v>
          </cell>
          <cell r="B80">
            <v>41275</v>
          </cell>
          <cell r="C80">
            <v>348773.52420057048</v>
          </cell>
          <cell r="D80">
            <v>10362.332177591948</v>
          </cell>
          <cell r="E80">
            <v>435.83</v>
          </cell>
          <cell r="F80">
            <v>10798.162177591948</v>
          </cell>
          <cell r="G80">
            <v>7508.0652659665666</v>
          </cell>
          <cell r="H80">
            <v>3290.0969116253814</v>
          </cell>
          <cell r="I80">
            <v>341265.4589346039</v>
          </cell>
        </row>
        <row r="81">
          <cell r="A81">
            <v>64</v>
          </cell>
          <cell r="B81">
            <v>41306</v>
          </cell>
          <cell r="C81">
            <v>341265.4589346039</v>
          </cell>
          <cell r="D81">
            <v>10362.332177591948</v>
          </cell>
          <cell r="E81">
            <v>435.83</v>
          </cell>
          <cell r="F81">
            <v>10798.162177591948</v>
          </cell>
          <cell r="G81">
            <v>7578.8913483088527</v>
          </cell>
          <cell r="H81">
            <v>3219.2708292830962</v>
          </cell>
          <cell r="I81">
            <v>333686.56758629507</v>
          </cell>
        </row>
        <row r="82">
          <cell r="A82">
            <v>65</v>
          </cell>
          <cell r="B82">
            <v>41334</v>
          </cell>
          <cell r="C82">
            <v>333686.56758629507</v>
          </cell>
          <cell r="D82">
            <v>10362.332177591948</v>
          </cell>
          <cell r="E82">
            <v>435.83</v>
          </cell>
          <cell r="F82">
            <v>10798.162177591948</v>
          </cell>
          <cell r="G82">
            <v>7650.3855566945658</v>
          </cell>
          <cell r="H82">
            <v>3147.7766208973831</v>
          </cell>
          <cell r="I82">
            <v>326036.18202960049</v>
          </cell>
        </row>
        <row r="83">
          <cell r="A83">
            <v>66</v>
          </cell>
          <cell r="B83">
            <v>41365</v>
          </cell>
          <cell r="C83">
            <v>326036.18202960049</v>
          </cell>
          <cell r="D83">
            <v>10362.332177591948</v>
          </cell>
          <cell r="E83">
            <v>435.83</v>
          </cell>
          <cell r="F83">
            <v>10798.162177591948</v>
          </cell>
          <cell r="G83">
            <v>7722.5541937793841</v>
          </cell>
          <cell r="H83">
            <v>3075.6079838125643</v>
          </cell>
          <cell r="I83">
            <v>318313.62783582113</v>
          </cell>
        </row>
        <row r="84">
          <cell r="A84">
            <v>67</v>
          </cell>
          <cell r="B84">
            <v>41395</v>
          </cell>
          <cell r="C84">
            <v>318313.62783582113</v>
          </cell>
          <cell r="D84">
            <v>10362.332177591948</v>
          </cell>
          <cell r="E84">
            <v>435.83</v>
          </cell>
          <cell r="F84">
            <v>10798.162177591948</v>
          </cell>
          <cell r="G84">
            <v>7795.4036216740351</v>
          </cell>
          <cell r="H84">
            <v>3002.7585559179129</v>
          </cell>
          <cell r="I84">
            <v>310518.22421414708</v>
          </cell>
        </row>
        <row r="85">
          <cell r="A85">
            <v>68</v>
          </cell>
          <cell r="B85">
            <v>41426</v>
          </cell>
          <cell r="C85">
            <v>310518.22421414708</v>
          </cell>
          <cell r="D85">
            <v>10362.332177591948</v>
          </cell>
          <cell r="E85">
            <v>435.83</v>
          </cell>
          <cell r="F85">
            <v>10798.162177591948</v>
          </cell>
          <cell r="G85">
            <v>7868.9402625051607</v>
          </cell>
          <cell r="H85">
            <v>2929.2219150867872</v>
          </cell>
          <cell r="I85">
            <v>302649.28395164193</v>
          </cell>
        </row>
        <row r="86">
          <cell r="A86">
            <v>69</v>
          </cell>
          <cell r="B86">
            <v>41456</v>
          </cell>
          <cell r="C86">
            <v>302649.28395164193</v>
          </cell>
          <cell r="D86">
            <v>10362.332177591948</v>
          </cell>
          <cell r="E86">
            <v>435.83</v>
          </cell>
          <cell r="F86">
            <v>10798.162177591948</v>
          </cell>
          <cell r="G86">
            <v>7943.17059898146</v>
          </cell>
          <cell r="H86">
            <v>2854.9915786104889</v>
          </cell>
          <cell r="I86">
            <v>294706.1133526605</v>
          </cell>
        </row>
        <row r="87">
          <cell r="A87">
            <v>70</v>
          </cell>
          <cell r="B87">
            <v>41487</v>
          </cell>
          <cell r="C87">
            <v>294706.1133526605</v>
          </cell>
          <cell r="D87">
            <v>10362.332177591948</v>
          </cell>
          <cell r="E87">
            <v>435.83</v>
          </cell>
          <cell r="F87">
            <v>10798.162177591948</v>
          </cell>
          <cell r="G87">
            <v>8018.1011749651843</v>
          </cell>
          <cell r="H87">
            <v>2780.0610026267641</v>
          </cell>
          <cell r="I87">
            <v>286688.01217769529</v>
          </cell>
        </row>
        <row r="88">
          <cell r="A88">
            <v>71</v>
          </cell>
          <cell r="B88">
            <v>41518</v>
          </cell>
          <cell r="C88">
            <v>286688.01217769529</v>
          </cell>
          <cell r="D88">
            <v>10362.332177591948</v>
          </cell>
          <cell r="E88">
            <v>435.83</v>
          </cell>
          <cell r="F88">
            <v>10798.162177591948</v>
          </cell>
          <cell r="G88">
            <v>8093.7385960490228</v>
          </cell>
          <cell r="H88">
            <v>2704.4235815429251</v>
          </cell>
          <cell r="I88">
            <v>278594.27358164627</v>
          </cell>
        </row>
        <row r="89">
          <cell r="A89">
            <v>72</v>
          </cell>
          <cell r="B89">
            <v>41548</v>
          </cell>
          <cell r="C89">
            <v>278594.27358164627</v>
          </cell>
          <cell r="D89">
            <v>10362.332177591948</v>
          </cell>
          <cell r="E89">
            <v>435.83</v>
          </cell>
          <cell r="F89">
            <v>10798.162177591948</v>
          </cell>
          <cell r="G89">
            <v>8170.0895301384189</v>
          </cell>
          <cell r="H89">
            <v>2628.07264745353</v>
          </cell>
          <cell r="I89">
            <v>270424.18405150785</v>
          </cell>
        </row>
        <row r="90">
          <cell r="A90">
            <v>73</v>
          </cell>
          <cell r="B90">
            <v>41579</v>
          </cell>
          <cell r="C90">
            <v>270424.18405150785</v>
          </cell>
          <cell r="D90">
            <v>10362.332177591948</v>
          </cell>
          <cell r="E90">
            <v>435.83</v>
          </cell>
          <cell r="F90">
            <v>10798.162177591948</v>
          </cell>
          <cell r="G90">
            <v>8247.1607080393915</v>
          </cell>
          <cell r="H90">
            <v>2551.0014695525574</v>
          </cell>
          <cell r="I90">
            <v>262177.02334346843</v>
          </cell>
        </row>
        <row r="91">
          <cell r="A91">
            <v>74</v>
          </cell>
          <cell r="B91">
            <v>41609</v>
          </cell>
          <cell r="C91">
            <v>262177.02334346843</v>
          </cell>
          <cell r="D91">
            <v>10362.332177591948</v>
          </cell>
          <cell r="E91">
            <v>435.83</v>
          </cell>
          <cell r="F91">
            <v>10798.162177591948</v>
          </cell>
          <cell r="G91">
            <v>8324.9589240518962</v>
          </cell>
          <cell r="H91">
            <v>2473.2032535400522</v>
          </cell>
          <cell r="I91">
            <v>253852.06441941654</v>
          </cell>
        </row>
        <row r="92">
          <cell r="A92">
            <v>75</v>
          </cell>
          <cell r="B92">
            <v>41640</v>
          </cell>
          <cell r="C92">
            <v>253852.06441941654</v>
          </cell>
          <cell r="D92">
            <v>10362.332177591948</v>
          </cell>
          <cell r="E92">
            <v>435.83</v>
          </cell>
          <cell r="F92">
            <v>10798.162177591948</v>
          </cell>
          <cell r="G92">
            <v>8403.4910365687865</v>
          </cell>
          <cell r="H92">
            <v>2394.6711410231624</v>
          </cell>
          <cell r="I92">
            <v>245448.57338284774</v>
          </cell>
        </row>
        <row r="93">
          <cell r="A93">
            <v>76</v>
          </cell>
          <cell r="B93">
            <v>41671</v>
          </cell>
          <cell r="C93">
            <v>245448.57338284774</v>
          </cell>
          <cell r="D93">
            <v>10362.332177591948</v>
          </cell>
          <cell r="E93">
            <v>435.83</v>
          </cell>
          <cell r="F93">
            <v>10798.162177591948</v>
          </cell>
          <cell r="G93">
            <v>8482.7639686804177</v>
          </cell>
          <cell r="H93">
            <v>2315.3982089115302</v>
          </cell>
          <cell r="I93">
            <v>236965.80941416731</v>
          </cell>
        </row>
        <row r="94">
          <cell r="A94">
            <v>77</v>
          </cell>
          <cell r="B94">
            <v>41699</v>
          </cell>
          <cell r="C94">
            <v>236965.80941416731</v>
          </cell>
          <cell r="D94">
            <v>10362.332177591948</v>
          </cell>
          <cell r="E94">
            <v>435.83</v>
          </cell>
          <cell r="F94">
            <v>10798.162177591948</v>
          </cell>
          <cell r="G94">
            <v>8562.7847087849696</v>
          </cell>
          <cell r="H94">
            <v>2235.3774688069784</v>
          </cell>
          <cell r="I94">
            <v>228403.02470538233</v>
          </cell>
        </row>
        <row r="95">
          <cell r="A95">
            <v>78</v>
          </cell>
          <cell r="B95">
            <v>41730</v>
          </cell>
          <cell r="C95">
            <v>228403.02470538233</v>
          </cell>
          <cell r="D95">
            <v>10362.332177591948</v>
          </cell>
          <cell r="E95">
            <v>435.83</v>
          </cell>
          <cell r="F95">
            <v>10798.162177591948</v>
          </cell>
          <cell r="G95">
            <v>8643.5603112045083</v>
          </cell>
          <cell r="H95">
            <v>2154.6018663874397</v>
          </cell>
          <cell r="I95">
            <v>219759.4643941778</v>
          </cell>
        </row>
        <row r="96">
          <cell r="A96">
            <v>79</v>
          </cell>
          <cell r="B96">
            <v>41760</v>
          </cell>
          <cell r="C96">
            <v>219759.4643941778</v>
          </cell>
          <cell r="D96">
            <v>10362.332177591948</v>
          </cell>
          <cell r="E96">
            <v>435.83</v>
          </cell>
          <cell r="F96">
            <v>10798.162177591948</v>
          </cell>
          <cell r="G96">
            <v>8725.0978968068703</v>
          </cell>
          <cell r="H96">
            <v>2073.0642807850772</v>
          </cell>
          <cell r="I96">
            <v>211034.36649737094</v>
          </cell>
        </row>
        <row r="97">
          <cell r="A97">
            <v>80</v>
          </cell>
          <cell r="B97">
            <v>41791</v>
          </cell>
          <cell r="C97">
            <v>211034.36649737094</v>
          </cell>
          <cell r="D97">
            <v>10362.332177591948</v>
          </cell>
          <cell r="E97">
            <v>435.83</v>
          </cell>
          <cell r="F97">
            <v>10798.162177591948</v>
          </cell>
          <cell r="G97">
            <v>8807.4046536334154</v>
          </cell>
          <cell r="H97">
            <v>1990.7575239585324</v>
          </cell>
          <cell r="I97">
            <v>202226.96184373752</v>
          </cell>
        </row>
        <row r="98">
          <cell r="A98">
            <v>81</v>
          </cell>
          <cell r="B98">
            <v>41821</v>
          </cell>
          <cell r="C98">
            <v>202226.96184373752</v>
          </cell>
          <cell r="D98">
            <v>10362.332177591948</v>
          </cell>
          <cell r="E98">
            <v>435.83</v>
          </cell>
          <cell r="F98">
            <v>10798.162177591948</v>
          </cell>
          <cell r="G98">
            <v>8890.4878375326916</v>
          </cell>
          <cell r="H98">
            <v>1907.674340059257</v>
          </cell>
          <cell r="I98">
            <v>193336.47400620484</v>
          </cell>
        </row>
        <row r="99">
          <cell r="A99">
            <v>82</v>
          </cell>
          <cell r="B99">
            <v>41852</v>
          </cell>
          <cell r="C99">
            <v>193336.47400620484</v>
          </cell>
          <cell r="D99">
            <v>10362.332177591948</v>
          </cell>
          <cell r="E99">
            <v>435.83</v>
          </cell>
          <cell r="F99">
            <v>10798.162177591948</v>
          </cell>
          <cell r="G99">
            <v>8974.3547728000831</v>
          </cell>
          <cell r="H99">
            <v>1823.8074047918656</v>
          </cell>
          <cell r="I99">
            <v>184362.11923340475</v>
          </cell>
        </row>
        <row r="100">
          <cell r="A100">
            <v>83</v>
          </cell>
          <cell r="B100">
            <v>41883</v>
          </cell>
          <cell r="C100">
            <v>184362.11923340475</v>
          </cell>
          <cell r="D100">
            <v>10362.332177591948</v>
          </cell>
          <cell r="E100">
            <v>435.83</v>
          </cell>
          <cell r="F100">
            <v>10798.162177591948</v>
          </cell>
          <cell r="G100">
            <v>9059.0128528234964</v>
          </cell>
          <cell r="H100">
            <v>1739.1493247684514</v>
          </cell>
          <cell r="I100">
            <v>175303.10638058124</v>
          </cell>
        </row>
        <row r="101">
          <cell r="A101">
            <v>84</v>
          </cell>
          <cell r="B101">
            <v>41913</v>
          </cell>
          <cell r="C101">
            <v>175303.10638058124</v>
          </cell>
          <cell r="D101">
            <v>10362.332177591948</v>
          </cell>
          <cell r="E101">
            <v>435.83</v>
          </cell>
          <cell r="F101">
            <v>10798.162177591948</v>
          </cell>
          <cell r="G101">
            <v>9144.4695407351319</v>
          </cell>
          <cell r="H101">
            <v>1653.6926368568163</v>
          </cell>
          <cell r="I101">
            <v>166158.63683984612</v>
          </cell>
        </row>
        <row r="102">
          <cell r="A102">
            <v>85</v>
          </cell>
          <cell r="B102">
            <v>41944</v>
          </cell>
          <cell r="C102">
            <v>166158.63683984612</v>
          </cell>
          <cell r="D102">
            <v>10362.332177591948</v>
          </cell>
          <cell r="E102">
            <v>435.83</v>
          </cell>
          <cell r="F102">
            <v>10798.162177591948</v>
          </cell>
          <cell r="G102">
            <v>9230.7323700693996</v>
          </cell>
          <cell r="H102">
            <v>1567.4298075225481</v>
          </cell>
          <cell r="I102">
            <v>156927.90446977672</v>
          </cell>
        </row>
        <row r="103">
          <cell r="A103">
            <v>86</v>
          </cell>
          <cell r="B103">
            <v>41974</v>
          </cell>
          <cell r="C103">
            <v>156927.90446977672</v>
          </cell>
          <cell r="D103">
            <v>10362.332177591948</v>
          </cell>
          <cell r="E103">
            <v>435.83</v>
          </cell>
          <cell r="F103">
            <v>10798.162177591948</v>
          </cell>
          <cell r="G103">
            <v>9317.8089454270557</v>
          </cell>
          <cell r="H103">
            <v>1480.3532321648936</v>
          </cell>
          <cell r="I103">
            <v>147610.09552434966</v>
          </cell>
        </row>
        <row r="104">
          <cell r="A104">
            <v>87</v>
          </cell>
          <cell r="B104">
            <v>42005</v>
          </cell>
          <cell r="C104">
            <v>147610.09552434966</v>
          </cell>
          <cell r="D104">
            <v>10362.332177591948</v>
          </cell>
          <cell r="E104">
            <v>435.83</v>
          </cell>
          <cell r="F104">
            <v>10798.162177591948</v>
          </cell>
          <cell r="G104">
            <v>9405.7069431455839</v>
          </cell>
          <cell r="H104">
            <v>1392.4552344463652</v>
          </cell>
          <cell r="I104">
            <v>138204.38858120408</v>
          </cell>
        </row>
        <row r="105">
          <cell r="A105">
            <v>88</v>
          </cell>
          <cell r="B105">
            <v>42036</v>
          </cell>
          <cell r="C105">
            <v>138204.38858120408</v>
          </cell>
          <cell r="D105">
            <v>10362.332177591948</v>
          </cell>
          <cell r="E105">
            <v>435.83</v>
          </cell>
          <cell r="F105">
            <v>10798.162177591948</v>
          </cell>
          <cell r="G105">
            <v>9494.4341119759229</v>
          </cell>
          <cell r="H105">
            <v>1303.7280656160251</v>
          </cell>
          <cell r="I105">
            <v>128709.95446922816</v>
          </cell>
        </row>
        <row r="106">
          <cell r="A106">
            <v>89</v>
          </cell>
          <cell r="B106">
            <v>42064</v>
          </cell>
          <cell r="C106">
            <v>128709.95446922816</v>
          </cell>
          <cell r="D106">
            <v>10362.332177591948</v>
          </cell>
          <cell r="E106">
            <v>435.83</v>
          </cell>
          <cell r="F106">
            <v>10798.162177591948</v>
          </cell>
          <cell r="G106">
            <v>9583.9982737655628</v>
          </cell>
          <cell r="H106">
            <v>1214.1639038263856</v>
          </cell>
          <cell r="I106">
            <v>119125.9561954626</v>
          </cell>
        </row>
        <row r="107">
          <cell r="A107">
            <v>90</v>
          </cell>
          <cell r="B107">
            <v>42095</v>
          </cell>
          <cell r="C107">
            <v>119125.9561954626</v>
          </cell>
          <cell r="D107">
            <v>10362.332177591948</v>
          </cell>
          <cell r="E107">
            <v>435.83</v>
          </cell>
          <cell r="F107">
            <v>10798.162177591948</v>
          </cell>
          <cell r="G107">
            <v>9674.4073241480837</v>
          </cell>
          <cell r="H107">
            <v>1123.7548534438638</v>
          </cell>
          <cell r="I107">
            <v>109451.54887131452</v>
          </cell>
        </row>
        <row r="108">
          <cell r="A108">
            <v>91</v>
          </cell>
          <cell r="B108">
            <v>42125</v>
          </cell>
          <cell r="C108">
            <v>109451.54887131452</v>
          </cell>
          <cell r="D108">
            <v>10362.332177591948</v>
          </cell>
          <cell r="E108">
            <v>435.83</v>
          </cell>
          <cell r="F108">
            <v>10798.162177591948</v>
          </cell>
          <cell r="G108">
            <v>9765.6692332392158</v>
          </cell>
          <cell r="H108">
            <v>1032.4929443527335</v>
          </cell>
          <cell r="I108">
            <v>99685.879638075305</v>
          </cell>
        </row>
        <row r="109">
          <cell r="A109">
            <v>92</v>
          </cell>
          <cell r="B109">
            <v>42156</v>
          </cell>
          <cell r="C109">
            <v>99685.879638075305</v>
          </cell>
          <cell r="D109">
            <v>10362.332177591948</v>
          </cell>
          <cell r="E109">
            <v>435.83</v>
          </cell>
          <cell r="F109">
            <v>10798.162177591948</v>
          </cell>
          <cell r="G109">
            <v>9857.7920463394385</v>
          </cell>
          <cell r="H109">
            <v>940.3701312525103</v>
          </cell>
          <cell r="I109">
            <v>89828.087591735864</v>
          </cell>
        </row>
        <row r="110">
          <cell r="A110">
            <v>93</v>
          </cell>
          <cell r="B110">
            <v>42186</v>
          </cell>
          <cell r="C110">
            <v>89828.087591735864</v>
          </cell>
          <cell r="D110">
            <v>10362.332177591948</v>
          </cell>
          <cell r="E110">
            <v>435.83</v>
          </cell>
          <cell r="F110">
            <v>10798.162177591948</v>
          </cell>
          <cell r="G110">
            <v>9950.7838846432405</v>
          </cell>
          <cell r="H110">
            <v>847.37829294870835</v>
          </cell>
          <cell r="I110">
            <v>79877.303707092622</v>
          </cell>
        </row>
        <row r="111">
          <cell r="A111">
            <v>94</v>
          </cell>
          <cell r="B111">
            <v>42217</v>
          </cell>
          <cell r="C111">
            <v>79877.303707092622</v>
          </cell>
          <cell r="D111">
            <v>10362.332177591948</v>
          </cell>
          <cell r="E111">
            <v>435.83</v>
          </cell>
          <cell r="F111">
            <v>10798.162177591948</v>
          </cell>
          <cell r="G111">
            <v>10044.652945955042</v>
          </cell>
          <cell r="H111">
            <v>753.50923163690697</v>
          </cell>
          <cell r="I111">
            <v>69832.650761137586</v>
          </cell>
        </row>
        <row r="112">
          <cell r="A112">
            <v>95</v>
          </cell>
          <cell r="B112">
            <v>42248</v>
          </cell>
          <cell r="C112">
            <v>69832.650761137586</v>
          </cell>
          <cell r="D112">
            <v>10362.332177591948</v>
          </cell>
          <cell r="E112">
            <v>435.83</v>
          </cell>
          <cell r="F112">
            <v>10798.162177591948</v>
          </cell>
          <cell r="G112">
            <v>10139.407505411884</v>
          </cell>
          <cell r="H112">
            <v>658.75467218006452</v>
          </cell>
          <cell r="I112">
            <v>59693.243255725698</v>
          </cell>
        </row>
        <row r="113">
          <cell r="A113">
            <v>96</v>
          </cell>
          <cell r="B113">
            <v>42278</v>
          </cell>
          <cell r="C113">
            <v>59693.243255725698</v>
          </cell>
          <cell r="D113">
            <v>10362.332177591948</v>
          </cell>
          <cell r="E113">
            <v>435.83</v>
          </cell>
          <cell r="F113">
            <v>10798.162177591948</v>
          </cell>
          <cell r="G113">
            <v>10235.055916212936</v>
          </cell>
          <cell r="H113">
            <v>563.10626137901238</v>
          </cell>
          <cell r="I113">
            <v>49458.187339512762</v>
          </cell>
        </row>
        <row r="114">
          <cell r="A114">
            <v>97</v>
          </cell>
          <cell r="B114">
            <v>42309</v>
          </cell>
          <cell r="C114">
            <v>49458.187339512762</v>
          </cell>
          <cell r="D114">
            <v>10362.332177591948</v>
          </cell>
          <cell r="E114">
            <v>435.83</v>
          </cell>
          <cell r="F114">
            <v>10798.162177591948</v>
          </cell>
          <cell r="G114">
            <v>10331.606610355879</v>
          </cell>
          <cell r="H114">
            <v>466.55556723607037</v>
          </cell>
          <cell r="I114">
            <v>39126.580729156885</v>
          </cell>
        </row>
        <row r="115">
          <cell r="A115">
            <v>98</v>
          </cell>
          <cell r="B115">
            <v>42339</v>
          </cell>
          <cell r="C115">
            <v>39126.580729156885</v>
          </cell>
          <cell r="D115">
            <v>10362.332177591948</v>
          </cell>
          <cell r="E115">
            <v>435.83</v>
          </cell>
          <cell r="F115">
            <v>10798.162177591948</v>
          </cell>
          <cell r="G115">
            <v>10429.068099380234</v>
          </cell>
          <cell r="H115">
            <v>369.09407821171322</v>
          </cell>
          <cell r="I115">
            <v>28697.512629776651</v>
          </cell>
        </row>
        <row r="116">
          <cell r="A116">
            <v>99</v>
          </cell>
          <cell r="B116">
            <v>42370</v>
          </cell>
          <cell r="C116">
            <v>28697.512629776651</v>
          </cell>
          <cell r="D116">
            <v>10362.332177591948</v>
          </cell>
          <cell r="E116">
            <v>435.83</v>
          </cell>
          <cell r="F116">
            <v>10798.162177591948</v>
          </cell>
          <cell r="G116">
            <v>10527.448975117723</v>
          </cell>
          <cell r="H116">
            <v>270.71320247422642</v>
          </cell>
          <cell r="I116">
            <v>18170.06365465893</v>
          </cell>
        </row>
        <row r="117">
          <cell r="A117">
            <v>100</v>
          </cell>
          <cell r="B117">
            <v>42401</v>
          </cell>
          <cell r="C117">
            <v>18170.06365465893</v>
          </cell>
          <cell r="D117">
            <v>10362.332177591948</v>
          </cell>
          <cell r="E117">
            <v>435.83</v>
          </cell>
          <cell r="F117">
            <v>10798.162177591948</v>
          </cell>
          <cell r="G117">
            <v>10626.757910449665</v>
          </cell>
          <cell r="H117">
            <v>171.40426714228258</v>
          </cell>
          <cell r="I117">
            <v>7543.305744209265</v>
          </cell>
        </row>
        <row r="118">
          <cell r="A118">
            <v>101</v>
          </cell>
          <cell r="B118">
            <v>42430</v>
          </cell>
          <cell r="C118">
            <v>7543.305744209265</v>
          </cell>
          <cell r="D118">
            <v>10362.332177591948</v>
          </cell>
          <cell r="E118">
            <v>0</v>
          </cell>
          <cell r="F118">
            <v>7543.305744209265</v>
          </cell>
          <cell r="G118">
            <v>7472.1472266888904</v>
          </cell>
          <cell r="H118">
            <v>71.158517520374062</v>
          </cell>
          <cell r="I118">
            <v>0</v>
          </cell>
        </row>
        <row r="119">
          <cell r="A119">
            <v>102</v>
          </cell>
          <cell r="B119">
            <v>42461</v>
          </cell>
          <cell r="C119">
            <v>0</v>
          </cell>
          <cell r="D119">
            <v>10362.332177591948</v>
          </cell>
          <cell r="E119">
            <v>0</v>
          </cell>
          <cell r="F119">
            <v>0</v>
          </cell>
          <cell r="G119">
            <v>0</v>
          </cell>
          <cell r="H119">
            <v>0</v>
          </cell>
          <cell r="I119">
            <v>0</v>
          </cell>
        </row>
        <row r="120">
          <cell r="A120">
            <v>103</v>
          </cell>
          <cell r="B120">
            <v>42491</v>
          </cell>
          <cell r="C120">
            <v>0</v>
          </cell>
          <cell r="D120">
            <v>10362.332177591948</v>
          </cell>
          <cell r="E120">
            <v>0</v>
          </cell>
          <cell r="F120">
            <v>0</v>
          </cell>
          <cell r="G120">
            <v>0</v>
          </cell>
          <cell r="H120">
            <v>0</v>
          </cell>
          <cell r="I120">
            <v>0</v>
          </cell>
        </row>
        <row r="121">
          <cell r="A121">
            <v>104</v>
          </cell>
          <cell r="B121">
            <v>42522</v>
          </cell>
          <cell r="C121">
            <v>0</v>
          </cell>
          <cell r="D121">
            <v>10362.332177591948</v>
          </cell>
          <cell r="E121">
            <v>0</v>
          </cell>
          <cell r="F121">
            <v>0</v>
          </cell>
          <cell r="G121">
            <v>0</v>
          </cell>
          <cell r="H121">
            <v>0</v>
          </cell>
          <cell r="I121">
            <v>0</v>
          </cell>
        </row>
        <row r="122">
          <cell r="A122">
            <v>105</v>
          </cell>
          <cell r="B122">
            <v>42552</v>
          </cell>
          <cell r="C122">
            <v>0</v>
          </cell>
          <cell r="D122">
            <v>10362.332177591948</v>
          </cell>
          <cell r="E122">
            <v>0</v>
          </cell>
          <cell r="F122">
            <v>0</v>
          </cell>
          <cell r="G122">
            <v>0</v>
          </cell>
          <cell r="H122">
            <v>0</v>
          </cell>
          <cell r="I122">
            <v>0</v>
          </cell>
        </row>
        <row r="123">
          <cell r="A123">
            <v>106</v>
          </cell>
          <cell r="B123">
            <v>42583</v>
          </cell>
          <cell r="C123">
            <v>0</v>
          </cell>
          <cell r="D123">
            <v>10362.332177591948</v>
          </cell>
          <cell r="E123">
            <v>0</v>
          </cell>
          <cell r="F123">
            <v>0</v>
          </cell>
          <cell r="G123">
            <v>0</v>
          </cell>
          <cell r="H123">
            <v>0</v>
          </cell>
          <cell r="I123">
            <v>0</v>
          </cell>
        </row>
        <row r="124">
          <cell r="A124">
            <v>107</v>
          </cell>
          <cell r="B124">
            <v>42614</v>
          </cell>
          <cell r="C124">
            <v>0</v>
          </cell>
          <cell r="D124">
            <v>10362.332177591948</v>
          </cell>
          <cell r="E124">
            <v>0</v>
          </cell>
          <cell r="F124">
            <v>0</v>
          </cell>
          <cell r="G124">
            <v>0</v>
          </cell>
          <cell r="H124">
            <v>0</v>
          </cell>
          <cell r="I124">
            <v>0</v>
          </cell>
        </row>
        <row r="125">
          <cell r="A125">
            <v>108</v>
          </cell>
          <cell r="B125">
            <v>42644</v>
          </cell>
          <cell r="C125">
            <v>0</v>
          </cell>
          <cell r="D125">
            <v>10362.332177591948</v>
          </cell>
          <cell r="E125">
            <v>0</v>
          </cell>
          <cell r="F125">
            <v>0</v>
          </cell>
          <cell r="G125">
            <v>0</v>
          </cell>
          <cell r="H125">
            <v>0</v>
          </cell>
          <cell r="I125">
            <v>0</v>
          </cell>
        </row>
        <row r="126">
          <cell r="A126">
            <v>109</v>
          </cell>
          <cell r="B126">
            <v>42675</v>
          </cell>
          <cell r="C126">
            <v>0</v>
          </cell>
          <cell r="D126">
            <v>10362.332177591948</v>
          </cell>
          <cell r="E126">
            <v>0</v>
          </cell>
          <cell r="F126">
            <v>0</v>
          </cell>
          <cell r="G126">
            <v>0</v>
          </cell>
          <cell r="H126">
            <v>0</v>
          </cell>
          <cell r="I126">
            <v>0</v>
          </cell>
        </row>
        <row r="127">
          <cell r="A127">
            <v>110</v>
          </cell>
          <cell r="B127">
            <v>42705</v>
          </cell>
          <cell r="C127">
            <v>0</v>
          </cell>
          <cell r="D127">
            <v>10362.332177591948</v>
          </cell>
          <cell r="E127">
            <v>0</v>
          </cell>
          <cell r="F127">
            <v>0</v>
          </cell>
          <cell r="G127">
            <v>0</v>
          </cell>
          <cell r="H127">
            <v>0</v>
          </cell>
          <cell r="I127">
            <v>0</v>
          </cell>
        </row>
        <row r="128">
          <cell r="A128">
            <v>111</v>
          </cell>
          <cell r="B128">
            <v>42736</v>
          </cell>
          <cell r="C128">
            <v>0</v>
          </cell>
          <cell r="D128">
            <v>10362.332177591948</v>
          </cell>
          <cell r="E128">
            <v>0</v>
          </cell>
          <cell r="F128">
            <v>0</v>
          </cell>
          <cell r="G128">
            <v>0</v>
          </cell>
          <cell r="H128">
            <v>0</v>
          </cell>
          <cell r="I128">
            <v>0</v>
          </cell>
        </row>
        <row r="129">
          <cell r="A129">
            <v>112</v>
          </cell>
          <cell r="B129">
            <v>42767</v>
          </cell>
          <cell r="C129">
            <v>0</v>
          </cell>
          <cell r="D129">
            <v>10362.332177591948</v>
          </cell>
          <cell r="E129">
            <v>0</v>
          </cell>
          <cell r="F129">
            <v>0</v>
          </cell>
          <cell r="G129">
            <v>0</v>
          </cell>
          <cell r="H129">
            <v>0</v>
          </cell>
          <cell r="I129">
            <v>0</v>
          </cell>
        </row>
        <row r="130">
          <cell r="A130">
            <v>113</v>
          </cell>
          <cell r="B130">
            <v>42795</v>
          </cell>
          <cell r="C130">
            <v>0</v>
          </cell>
          <cell r="D130">
            <v>10362.332177591948</v>
          </cell>
          <cell r="E130">
            <v>0</v>
          </cell>
          <cell r="F130">
            <v>0</v>
          </cell>
          <cell r="G130">
            <v>0</v>
          </cell>
          <cell r="H130">
            <v>0</v>
          </cell>
          <cell r="I130">
            <v>0</v>
          </cell>
        </row>
        <row r="131">
          <cell r="A131">
            <v>114</v>
          </cell>
          <cell r="B131">
            <v>42826</v>
          </cell>
          <cell r="C131">
            <v>0</v>
          </cell>
          <cell r="D131">
            <v>10362.332177591948</v>
          </cell>
          <cell r="E131">
            <v>0</v>
          </cell>
          <cell r="F131">
            <v>0</v>
          </cell>
          <cell r="G131">
            <v>0</v>
          </cell>
          <cell r="H131">
            <v>0</v>
          </cell>
          <cell r="I131">
            <v>0</v>
          </cell>
        </row>
        <row r="132">
          <cell r="A132">
            <v>115</v>
          </cell>
          <cell r="B132">
            <v>42856</v>
          </cell>
          <cell r="C132">
            <v>0</v>
          </cell>
          <cell r="D132">
            <v>10362.332177591948</v>
          </cell>
          <cell r="E132">
            <v>0</v>
          </cell>
          <cell r="F132">
            <v>0</v>
          </cell>
          <cell r="G132">
            <v>0</v>
          </cell>
          <cell r="H132">
            <v>0</v>
          </cell>
          <cell r="I132">
            <v>0</v>
          </cell>
        </row>
        <row r="133">
          <cell r="A133">
            <v>116</v>
          </cell>
          <cell r="B133">
            <v>42887</v>
          </cell>
          <cell r="C133">
            <v>0</v>
          </cell>
          <cell r="D133">
            <v>10362.332177591948</v>
          </cell>
          <cell r="E133">
            <v>0</v>
          </cell>
          <cell r="F133">
            <v>0</v>
          </cell>
          <cell r="G133">
            <v>0</v>
          </cell>
          <cell r="H133">
            <v>0</v>
          </cell>
          <cell r="I133">
            <v>0</v>
          </cell>
        </row>
        <row r="134">
          <cell r="A134">
            <v>117</v>
          </cell>
          <cell r="B134">
            <v>42917</v>
          </cell>
          <cell r="C134">
            <v>0</v>
          </cell>
          <cell r="D134">
            <v>10362.332177591948</v>
          </cell>
          <cell r="E134">
            <v>0</v>
          </cell>
          <cell r="F134">
            <v>0</v>
          </cell>
          <cell r="G134">
            <v>0</v>
          </cell>
          <cell r="H134">
            <v>0</v>
          </cell>
          <cell r="I134">
            <v>0</v>
          </cell>
        </row>
        <row r="135">
          <cell r="A135">
            <v>118</v>
          </cell>
          <cell r="B135">
            <v>42948</v>
          </cell>
          <cell r="C135">
            <v>0</v>
          </cell>
          <cell r="D135">
            <v>10362.332177591948</v>
          </cell>
          <cell r="E135">
            <v>0</v>
          </cell>
          <cell r="F135">
            <v>0</v>
          </cell>
          <cell r="G135">
            <v>0</v>
          </cell>
          <cell r="H135">
            <v>0</v>
          </cell>
          <cell r="I135">
            <v>0</v>
          </cell>
        </row>
        <row r="136">
          <cell r="A136">
            <v>119</v>
          </cell>
          <cell r="B136">
            <v>42979</v>
          </cell>
          <cell r="C136">
            <v>0</v>
          </cell>
          <cell r="D136">
            <v>10362.332177591948</v>
          </cell>
          <cell r="E136">
            <v>0</v>
          </cell>
          <cell r="F136">
            <v>0</v>
          </cell>
          <cell r="G136">
            <v>0</v>
          </cell>
          <cell r="H136">
            <v>0</v>
          </cell>
          <cell r="I136">
            <v>0</v>
          </cell>
        </row>
        <row r="137">
          <cell r="A137">
            <v>120</v>
          </cell>
          <cell r="B137">
            <v>43009</v>
          </cell>
          <cell r="C137">
            <v>0</v>
          </cell>
          <cell r="D137">
            <v>10362.332177591948</v>
          </cell>
          <cell r="E137">
            <v>0</v>
          </cell>
          <cell r="F137">
            <v>0</v>
          </cell>
          <cell r="G137">
            <v>0</v>
          </cell>
          <cell r="H137">
            <v>0</v>
          </cell>
          <cell r="I137">
            <v>0</v>
          </cell>
        </row>
        <row r="138">
          <cell r="A138">
            <v>121</v>
          </cell>
          <cell r="B138">
            <v>43040</v>
          </cell>
          <cell r="C138">
            <v>0</v>
          </cell>
          <cell r="D138">
            <v>10362.332177591948</v>
          </cell>
          <cell r="E138">
            <v>0</v>
          </cell>
          <cell r="F138">
            <v>0</v>
          </cell>
          <cell r="G138">
            <v>0</v>
          </cell>
          <cell r="H138">
            <v>0</v>
          </cell>
          <cell r="I138">
            <v>0</v>
          </cell>
        </row>
        <row r="139">
          <cell r="A139">
            <v>122</v>
          </cell>
          <cell r="B139">
            <v>43070</v>
          </cell>
          <cell r="C139">
            <v>0</v>
          </cell>
          <cell r="D139">
            <v>10362.332177591948</v>
          </cell>
          <cell r="E139">
            <v>0</v>
          </cell>
          <cell r="F139">
            <v>0</v>
          </cell>
          <cell r="G139">
            <v>0</v>
          </cell>
          <cell r="H139">
            <v>0</v>
          </cell>
          <cell r="I139">
            <v>0</v>
          </cell>
        </row>
        <row r="140">
          <cell r="A140">
            <v>123</v>
          </cell>
          <cell r="B140">
            <v>43101</v>
          </cell>
          <cell r="C140">
            <v>0</v>
          </cell>
          <cell r="D140">
            <v>10362.332177591948</v>
          </cell>
          <cell r="E140">
            <v>0</v>
          </cell>
          <cell r="F140">
            <v>0</v>
          </cell>
          <cell r="G140">
            <v>0</v>
          </cell>
          <cell r="H140">
            <v>0</v>
          </cell>
          <cell r="I140">
            <v>0</v>
          </cell>
        </row>
        <row r="141">
          <cell r="A141">
            <v>124</v>
          </cell>
          <cell r="B141">
            <v>43132</v>
          </cell>
          <cell r="C141">
            <v>0</v>
          </cell>
          <cell r="D141">
            <v>10362.332177591948</v>
          </cell>
          <cell r="E141">
            <v>0</v>
          </cell>
          <cell r="F141">
            <v>0</v>
          </cell>
          <cell r="G141">
            <v>0</v>
          </cell>
          <cell r="H141">
            <v>0</v>
          </cell>
          <cell r="I141">
            <v>0</v>
          </cell>
        </row>
        <row r="142">
          <cell r="A142">
            <v>125</v>
          </cell>
          <cell r="B142">
            <v>43160</v>
          </cell>
          <cell r="C142">
            <v>0</v>
          </cell>
          <cell r="D142">
            <v>10362.332177591948</v>
          </cell>
          <cell r="E142">
            <v>0</v>
          </cell>
          <cell r="F142">
            <v>0</v>
          </cell>
          <cell r="G142">
            <v>0</v>
          </cell>
          <cell r="H142">
            <v>0</v>
          </cell>
          <cell r="I142">
            <v>0</v>
          </cell>
        </row>
        <row r="143">
          <cell r="A143">
            <v>126</v>
          </cell>
          <cell r="B143">
            <v>43191</v>
          </cell>
          <cell r="C143">
            <v>0</v>
          </cell>
          <cell r="D143">
            <v>10362.332177591948</v>
          </cell>
          <cell r="E143">
            <v>0</v>
          </cell>
          <cell r="F143">
            <v>0</v>
          </cell>
          <cell r="G143">
            <v>0</v>
          </cell>
          <cell r="H143">
            <v>0</v>
          </cell>
          <cell r="I143">
            <v>0</v>
          </cell>
        </row>
        <row r="144">
          <cell r="A144">
            <v>127</v>
          </cell>
          <cell r="B144">
            <v>43221</v>
          </cell>
          <cell r="C144">
            <v>0</v>
          </cell>
          <cell r="D144">
            <v>10362.332177591948</v>
          </cell>
          <cell r="E144">
            <v>0</v>
          </cell>
          <cell r="F144">
            <v>0</v>
          </cell>
          <cell r="G144">
            <v>0</v>
          </cell>
          <cell r="H144">
            <v>0</v>
          </cell>
          <cell r="I144">
            <v>0</v>
          </cell>
        </row>
        <row r="145">
          <cell r="A145">
            <v>128</v>
          </cell>
          <cell r="B145">
            <v>43252</v>
          </cell>
          <cell r="C145">
            <v>0</v>
          </cell>
          <cell r="D145">
            <v>10362.332177591948</v>
          </cell>
          <cell r="E145">
            <v>0</v>
          </cell>
          <cell r="F145">
            <v>0</v>
          </cell>
          <cell r="G145">
            <v>0</v>
          </cell>
          <cell r="H145">
            <v>0</v>
          </cell>
          <cell r="I145">
            <v>0</v>
          </cell>
        </row>
        <row r="146">
          <cell r="A146">
            <v>129</v>
          </cell>
          <cell r="B146">
            <v>43282</v>
          </cell>
          <cell r="C146">
            <v>0</v>
          </cell>
          <cell r="D146">
            <v>10362.332177591948</v>
          </cell>
          <cell r="E146">
            <v>0</v>
          </cell>
          <cell r="F146">
            <v>0</v>
          </cell>
          <cell r="G146">
            <v>0</v>
          </cell>
          <cell r="H146">
            <v>0</v>
          </cell>
          <cell r="I146">
            <v>0</v>
          </cell>
        </row>
        <row r="147">
          <cell r="A147">
            <v>130</v>
          </cell>
          <cell r="B147">
            <v>43313</v>
          </cell>
          <cell r="C147">
            <v>0</v>
          </cell>
          <cell r="D147">
            <v>10362.332177591948</v>
          </cell>
          <cell r="E147">
            <v>0</v>
          </cell>
          <cell r="F147">
            <v>0</v>
          </cell>
          <cell r="G147">
            <v>0</v>
          </cell>
          <cell r="H147">
            <v>0</v>
          </cell>
          <cell r="I147">
            <v>0</v>
          </cell>
        </row>
        <row r="148">
          <cell r="A148">
            <v>131</v>
          </cell>
          <cell r="B148">
            <v>43344</v>
          </cell>
          <cell r="C148">
            <v>0</v>
          </cell>
          <cell r="D148">
            <v>10362.332177591948</v>
          </cell>
          <cell r="E148">
            <v>0</v>
          </cell>
          <cell r="F148">
            <v>0</v>
          </cell>
          <cell r="G148">
            <v>0</v>
          </cell>
          <cell r="H148">
            <v>0</v>
          </cell>
          <cell r="I148">
            <v>0</v>
          </cell>
        </row>
        <row r="149">
          <cell r="A149">
            <v>132</v>
          </cell>
          <cell r="B149">
            <v>43374</v>
          </cell>
          <cell r="C149">
            <v>0</v>
          </cell>
          <cell r="D149">
            <v>10362.332177591948</v>
          </cell>
          <cell r="E149">
            <v>0</v>
          </cell>
          <cell r="F149">
            <v>0</v>
          </cell>
          <cell r="G149">
            <v>0</v>
          </cell>
          <cell r="H149">
            <v>0</v>
          </cell>
          <cell r="I149">
            <v>0</v>
          </cell>
        </row>
        <row r="150">
          <cell r="A150">
            <v>133</v>
          </cell>
          <cell r="B150">
            <v>43405</v>
          </cell>
          <cell r="C150">
            <v>0</v>
          </cell>
          <cell r="D150">
            <v>10362.332177591948</v>
          </cell>
          <cell r="E150">
            <v>0</v>
          </cell>
          <cell r="F150">
            <v>0</v>
          </cell>
          <cell r="G150">
            <v>0</v>
          </cell>
          <cell r="H150">
            <v>0</v>
          </cell>
          <cell r="I150">
            <v>0</v>
          </cell>
        </row>
        <row r="151">
          <cell r="A151">
            <v>134</v>
          </cell>
          <cell r="B151">
            <v>43435</v>
          </cell>
          <cell r="C151">
            <v>0</v>
          </cell>
          <cell r="D151">
            <v>10362.332177591948</v>
          </cell>
          <cell r="E151">
            <v>0</v>
          </cell>
          <cell r="F151">
            <v>0</v>
          </cell>
          <cell r="G151">
            <v>0</v>
          </cell>
          <cell r="H151">
            <v>0</v>
          </cell>
          <cell r="I151">
            <v>0</v>
          </cell>
        </row>
        <row r="152">
          <cell r="A152">
            <v>135</v>
          </cell>
          <cell r="B152">
            <v>43466</v>
          </cell>
          <cell r="C152">
            <v>0</v>
          </cell>
          <cell r="D152">
            <v>10362.332177591948</v>
          </cell>
          <cell r="E152">
            <v>0</v>
          </cell>
          <cell r="F152">
            <v>0</v>
          </cell>
          <cell r="G152">
            <v>0</v>
          </cell>
          <cell r="H152">
            <v>0</v>
          </cell>
          <cell r="I152">
            <v>0</v>
          </cell>
        </row>
        <row r="153">
          <cell r="A153">
            <v>136</v>
          </cell>
          <cell r="B153">
            <v>43497</v>
          </cell>
          <cell r="C153">
            <v>0</v>
          </cell>
          <cell r="D153">
            <v>10362.332177591948</v>
          </cell>
          <cell r="E153">
            <v>0</v>
          </cell>
          <cell r="F153">
            <v>0</v>
          </cell>
          <cell r="G153">
            <v>0</v>
          </cell>
          <cell r="H153">
            <v>0</v>
          </cell>
          <cell r="I153">
            <v>0</v>
          </cell>
        </row>
        <row r="154">
          <cell r="A154">
            <v>137</v>
          </cell>
          <cell r="B154">
            <v>43525</v>
          </cell>
          <cell r="C154">
            <v>0</v>
          </cell>
          <cell r="D154">
            <v>10362.332177591948</v>
          </cell>
          <cell r="E154">
            <v>0</v>
          </cell>
          <cell r="F154">
            <v>0</v>
          </cell>
          <cell r="G154">
            <v>0</v>
          </cell>
          <cell r="H154">
            <v>0</v>
          </cell>
          <cell r="I154">
            <v>0</v>
          </cell>
        </row>
        <row r="155">
          <cell r="A155">
            <v>138</v>
          </cell>
          <cell r="B155">
            <v>43556</v>
          </cell>
          <cell r="C155">
            <v>0</v>
          </cell>
          <cell r="D155">
            <v>10362.332177591948</v>
          </cell>
          <cell r="E155">
            <v>0</v>
          </cell>
          <cell r="F155">
            <v>0</v>
          </cell>
          <cell r="G155">
            <v>0</v>
          </cell>
          <cell r="H155">
            <v>0</v>
          </cell>
          <cell r="I155">
            <v>0</v>
          </cell>
        </row>
        <row r="156">
          <cell r="A156">
            <v>139</v>
          </cell>
          <cell r="B156">
            <v>43586</v>
          </cell>
          <cell r="C156">
            <v>0</v>
          </cell>
          <cell r="D156">
            <v>10362.332177591948</v>
          </cell>
          <cell r="E156">
            <v>0</v>
          </cell>
          <cell r="F156">
            <v>0</v>
          </cell>
          <cell r="G156">
            <v>0</v>
          </cell>
          <cell r="H156">
            <v>0</v>
          </cell>
          <cell r="I156">
            <v>0</v>
          </cell>
        </row>
        <row r="157">
          <cell r="A157">
            <v>140</v>
          </cell>
          <cell r="B157">
            <v>43617</v>
          </cell>
          <cell r="C157">
            <v>0</v>
          </cell>
          <cell r="D157">
            <v>10362.332177591948</v>
          </cell>
          <cell r="E157">
            <v>0</v>
          </cell>
          <cell r="F157">
            <v>0</v>
          </cell>
          <cell r="G157">
            <v>0</v>
          </cell>
          <cell r="H157">
            <v>0</v>
          </cell>
          <cell r="I157">
            <v>0</v>
          </cell>
        </row>
        <row r="158">
          <cell r="A158">
            <v>141</v>
          </cell>
          <cell r="B158">
            <v>43647</v>
          </cell>
          <cell r="C158">
            <v>0</v>
          </cell>
          <cell r="D158">
            <v>10362.332177591948</v>
          </cell>
          <cell r="E158">
            <v>0</v>
          </cell>
          <cell r="F158">
            <v>0</v>
          </cell>
          <cell r="G158">
            <v>0</v>
          </cell>
          <cell r="H158">
            <v>0</v>
          </cell>
          <cell r="I158">
            <v>0</v>
          </cell>
        </row>
        <row r="159">
          <cell r="A159">
            <v>142</v>
          </cell>
          <cell r="B159">
            <v>43678</v>
          </cell>
          <cell r="C159">
            <v>0</v>
          </cell>
          <cell r="D159">
            <v>10362.332177591948</v>
          </cell>
          <cell r="E159">
            <v>0</v>
          </cell>
          <cell r="F159">
            <v>0</v>
          </cell>
          <cell r="G159">
            <v>0</v>
          </cell>
          <cell r="H159">
            <v>0</v>
          </cell>
          <cell r="I159">
            <v>0</v>
          </cell>
        </row>
        <row r="160">
          <cell r="A160">
            <v>143</v>
          </cell>
          <cell r="B160">
            <v>43709</v>
          </cell>
          <cell r="C160">
            <v>0</v>
          </cell>
          <cell r="D160">
            <v>10362.332177591948</v>
          </cell>
          <cell r="E160">
            <v>0</v>
          </cell>
          <cell r="F160">
            <v>0</v>
          </cell>
          <cell r="G160">
            <v>0</v>
          </cell>
          <cell r="H160">
            <v>0</v>
          </cell>
          <cell r="I160">
            <v>0</v>
          </cell>
        </row>
        <row r="161">
          <cell r="A161">
            <v>144</v>
          </cell>
          <cell r="B161">
            <v>43739</v>
          </cell>
          <cell r="C161">
            <v>0</v>
          </cell>
          <cell r="D161">
            <v>10362.332177591948</v>
          </cell>
          <cell r="E161">
            <v>0</v>
          </cell>
          <cell r="F161">
            <v>0</v>
          </cell>
          <cell r="G161">
            <v>0</v>
          </cell>
          <cell r="H161">
            <v>0</v>
          </cell>
          <cell r="I161">
            <v>0</v>
          </cell>
        </row>
        <row r="162">
          <cell r="A162">
            <v>145</v>
          </cell>
          <cell r="B162">
            <v>43770</v>
          </cell>
          <cell r="C162">
            <v>0</v>
          </cell>
          <cell r="D162">
            <v>10362.332177591948</v>
          </cell>
          <cell r="E162">
            <v>0</v>
          </cell>
          <cell r="F162">
            <v>0</v>
          </cell>
          <cell r="G162">
            <v>0</v>
          </cell>
          <cell r="H162">
            <v>0</v>
          </cell>
          <cell r="I162">
            <v>0</v>
          </cell>
        </row>
        <row r="163">
          <cell r="A163">
            <v>146</v>
          </cell>
          <cell r="B163">
            <v>43800</v>
          </cell>
          <cell r="C163">
            <v>0</v>
          </cell>
          <cell r="D163">
            <v>10362.332177591948</v>
          </cell>
          <cell r="E163">
            <v>0</v>
          </cell>
          <cell r="F163">
            <v>0</v>
          </cell>
          <cell r="G163">
            <v>0</v>
          </cell>
          <cell r="H163">
            <v>0</v>
          </cell>
          <cell r="I163">
            <v>0</v>
          </cell>
        </row>
        <row r="164">
          <cell r="A164">
            <v>147</v>
          </cell>
          <cell r="B164">
            <v>43831</v>
          </cell>
          <cell r="C164">
            <v>0</v>
          </cell>
          <cell r="D164">
            <v>10362.332177591948</v>
          </cell>
          <cell r="E164">
            <v>0</v>
          </cell>
          <cell r="F164">
            <v>0</v>
          </cell>
          <cell r="G164">
            <v>0</v>
          </cell>
          <cell r="H164">
            <v>0</v>
          </cell>
          <cell r="I164">
            <v>0</v>
          </cell>
        </row>
        <row r="165">
          <cell r="A165">
            <v>148</v>
          </cell>
          <cell r="B165">
            <v>43862</v>
          </cell>
          <cell r="C165">
            <v>0</v>
          </cell>
          <cell r="D165">
            <v>10362.332177591948</v>
          </cell>
          <cell r="E165">
            <v>0</v>
          </cell>
          <cell r="F165">
            <v>0</v>
          </cell>
          <cell r="G165">
            <v>0</v>
          </cell>
          <cell r="H165">
            <v>0</v>
          </cell>
          <cell r="I165">
            <v>0</v>
          </cell>
        </row>
        <row r="166">
          <cell r="A166">
            <v>149</v>
          </cell>
          <cell r="B166">
            <v>43891</v>
          </cell>
          <cell r="C166">
            <v>0</v>
          </cell>
          <cell r="D166">
            <v>10362.332177591948</v>
          </cell>
          <cell r="E166">
            <v>0</v>
          </cell>
          <cell r="F166">
            <v>0</v>
          </cell>
          <cell r="G166">
            <v>0</v>
          </cell>
          <cell r="H166">
            <v>0</v>
          </cell>
          <cell r="I166">
            <v>0</v>
          </cell>
        </row>
        <row r="167">
          <cell r="A167">
            <v>150</v>
          </cell>
          <cell r="B167">
            <v>43922</v>
          </cell>
          <cell r="C167">
            <v>0</v>
          </cell>
          <cell r="D167">
            <v>10362.332177591948</v>
          </cell>
          <cell r="E167">
            <v>0</v>
          </cell>
          <cell r="F167">
            <v>0</v>
          </cell>
          <cell r="G167">
            <v>0</v>
          </cell>
          <cell r="H167">
            <v>0</v>
          </cell>
          <cell r="I167">
            <v>0</v>
          </cell>
        </row>
        <row r="168">
          <cell r="A168">
            <v>151</v>
          </cell>
          <cell r="B168">
            <v>43952</v>
          </cell>
          <cell r="C168">
            <v>0</v>
          </cell>
          <cell r="D168">
            <v>10362.332177591948</v>
          </cell>
          <cell r="E168">
            <v>0</v>
          </cell>
          <cell r="F168">
            <v>0</v>
          </cell>
          <cell r="G168">
            <v>0</v>
          </cell>
          <cell r="H168">
            <v>0</v>
          </cell>
          <cell r="I168">
            <v>0</v>
          </cell>
        </row>
        <row r="169">
          <cell r="A169">
            <v>152</v>
          </cell>
          <cell r="B169">
            <v>43983</v>
          </cell>
          <cell r="C169">
            <v>0</v>
          </cell>
          <cell r="D169">
            <v>10362.332177591948</v>
          </cell>
          <cell r="E169">
            <v>0</v>
          </cell>
          <cell r="F169">
            <v>0</v>
          </cell>
          <cell r="G169">
            <v>0</v>
          </cell>
          <cell r="H169">
            <v>0</v>
          </cell>
          <cell r="I169">
            <v>0</v>
          </cell>
        </row>
        <row r="170">
          <cell r="A170">
            <v>153</v>
          </cell>
          <cell r="B170">
            <v>44013</v>
          </cell>
          <cell r="C170">
            <v>0</v>
          </cell>
          <cell r="D170">
            <v>10362.332177591948</v>
          </cell>
          <cell r="E170">
            <v>0</v>
          </cell>
          <cell r="F170">
            <v>0</v>
          </cell>
          <cell r="G170">
            <v>0</v>
          </cell>
          <cell r="H170">
            <v>0</v>
          </cell>
          <cell r="I170">
            <v>0</v>
          </cell>
        </row>
        <row r="171">
          <cell r="A171">
            <v>154</v>
          </cell>
          <cell r="B171">
            <v>44044</v>
          </cell>
          <cell r="C171">
            <v>0</v>
          </cell>
          <cell r="D171">
            <v>10362.332177591948</v>
          </cell>
          <cell r="E171">
            <v>0</v>
          </cell>
          <cell r="F171">
            <v>0</v>
          </cell>
          <cell r="G171">
            <v>0</v>
          </cell>
          <cell r="H171">
            <v>0</v>
          </cell>
          <cell r="I171">
            <v>0</v>
          </cell>
        </row>
        <row r="172">
          <cell r="A172">
            <v>155</v>
          </cell>
          <cell r="B172">
            <v>44075</v>
          </cell>
          <cell r="C172">
            <v>0</v>
          </cell>
          <cell r="D172">
            <v>10362.332177591948</v>
          </cell>
          <cell r="E172">
            <v>0</v>
          </cell>
          <cell r="F172">
            <v>0</v>
          </cell>
          <cell r="G172">
            <v>0</v>
          </cell>
          <cell r="H172">
            <v>0</v>
          </cell>
          <cell r="I172">
            <v>0</v>
          </cell>
        </row>
        <row r="173">
          <cell r="A173">
            <v>156</v>
          </cell>
          <cell r="B173">
            <v>44105</v>
          </cell>
          <cell r="C173">
            <v>0</v>
          </cell>
          <cell r="D173">
            <v>10362.332177591948</v>
          </cell>
          <cell r="E173">
            <v>0</v>
          </cell>
          <cell r="F173">
            <v>0</v>
          </cell>
          <cell r="G173">
            <v>0</v>
          </cell>
          <cell r="H173">
            <v>0</v>
          </cell>
          <cell r="I173">
            <v>0</v>
          </cell>
        </row>
        <row r="174">
          <cell r="A174">
            <v>157</v>
          </cell>
          <cell r="B174">
            <v>44136</v>
          </cell>
          <cell r="C174">
            <v>0</v>
          </cell>
          <cell r="D174">
            <v>10362.332177591948</v>
          </cell>
          <cell r="E174">
            <v>0</v>
          </cell>
          <cell r="F174">
            <v>0</v>
          </cell>
          <cell r="G174">
            <v>0</v>
          </cell>
          <cell r="H174">
            <v>0</v>
          </cell>
          <cell r="I174">
            <v>0</v>
          </cell>
        </row>
        <row r="175">
          <cell r="A175">
            <v>158</v>
          </cell>
          <cell r="B175">
            <v>44166</v>
          </cell>
          <cell r="C175">
            <v>0</v>
          </cell>
          <cell r="D175">
            <v>10362.332177591948</v>
          </cell>
          <cell r="E175">
            <v>0</v>
          </cell>
          <cell r="F175">
            <v>0</v>
          </cell>
          <cell r="G175">
            <v>0</v>
          </cell>
          <cell r="H175">
            <v>0</v>
          </cell>
          <cell r="I175">
            <v>0</v>
          </cell>
        </row>
        <row r="176">
          <cell r="A176">
            <v>159</v>
          </cell>
          <cell r="B176">
            <v>44197</v>
          </cell>
          <cell r="C176">
            <v>0</v>
          </cell>
          <cell r="D176">
            <v>10362.332177591948</v>
          </cell>
          <cell r="E176">
            <v>0</v>
          </cell>
          <cell r="F176">
            <v>0</v>
          </cell>
          <cell r="G176">
            <v>0</v>
          </cell>
          <cell r="H176">
            <v>0</v>
          </cell>
          <cell r="I176">
            <v>0</v>
          </cell>
        </row>
        <row r="177">
          <cell r="A177">
            <v>160</v>
          </cell>
          <cell r="B177">
            <v>44228</v>
          </cell>
          <cell r="C177">
            <v>0</v>
          </cell>
          <cell r="D177">
            <v>10362.332177591948</v>
          </cell>
          <cell r="E177">
            <v>0</v>
          </cell>
          <cell r="F177">
            <v>0</v>
          </cell>
          <cell r="G177">
            <v>0</v>
          </cell>
          <cell r="H177">
            <v>0</v>
          </cell>
          <cell r="I177">
            <v>0</v>
          </cell>
        </row>
        <row r="178">
          <cell r="A178">
            <v>161</v>
          </cell>
          <cell r="B178">
            <v>44256</v>
          </cell>
          <cell r="C178">
            <v>0</v>
          </cell>
          <cell r="D178">
            <v>10362.332177591948</v>
          </cell>
          <cell r="E178">
            <v>0</v>
          </cell>
          <cell r="F178">
            <v>0</v>
          </cell>
          <cell r="G178">
            <v>0</v>
          </cell>
          <cell r="H178">
            <v>0</v>
          </cell>
          <cell r="I178">
            <v>0</v>
          </cell>
        </row>
        <row r="179">
          <cell r="A179">
            <v>162</v>
          </cell>
          <cell r="B179">
            <v>44287</v>
          </cell>
          <cell r="C179">
            <v>0</v>
          </cell>
          <cell r="D179">
            <v>10362.332177591948</v>
          </cell>
          <cell r="E179">
            <v>0</v>
          </cell>
          <cell r="F179">
            <v>0</v>
          </cell>
          <cell r="G179">
            <v>0</v>
          </cell>
          <cell r="H179">
            <v>0</v>
          </cell>
          <cell r="I179">
            <v>0</v>
          </cell>
        </row>
        <row r="180">
          <cell r="A180">
            <v>163</v>
          </cell>
          <cell r="B180">
            <v>44317</v>
          </cell>
          <cell r="C180">
            <v>0</v>
          </cell>
          <cell r="D180">
            <v>10362.332177591948</v>
          </cell>
          <cell r="E180">
            <v>0</v>
          </cell>
          <cell r="F180">
            <v>0</v>
          </cell>
          <cell r="G180">
            <v>0</v>
          </cell>
          <cell r="H180">
            <v>0</v>
          </cell>
          <cell r="I180">
            <v>0</v>
          </cell>
        </row>
        <row r="181">
          <cell r="A181">
            <v>164</v>
          </cell>
          <cell r="B181">
            <v>44348</v>
          </cell>
          <cell r="C181">
            <v>0</v>
          </cell>
          <cell r="D181">
            <v>10362.332177591948</v>
          </cell>
          <cell r="E181">
            <v>0</v>
          </cell>
          <cell r="F181">
            <v>0</v>
          </cell>
          <cell r="G181">
            <v>0</v>
          </cell>
          <cell r="H181">
            <v>0</v>
          </cell>
          <cell r="I181">
            <v>0</v>
          </cell>
        </row>
        <row r="182">
          <cell r="A182">
            <v>165</v>
          </cell>
          <cell r="B182">
            <v>44378</v>
          </cell>
          <cell r="C182">
            <v>0</v>
          </cell>
          <cell r="D182">
            <v>10362.332177591948</v>
          </cell>
          <cell r="E182">
            <v>0</v>
          </cell>
          <cell r="F182">
            <v>0</v>
          </cell>
          <cell r="G182">
            <v>0</v>
          </cell>
          <cell r="H182">
            <v>0</v>
          </cell>
          <cell r="I182">
            <v>0</v>
          </cell>
        </row>
        <row r="183">
          <cell r="A183">
            <v>166</v>
          </cell>
          <cell r="B183">
            <v>44409</v>
          </cell>
          <cell r="C183">
            <v>0</v>
          </cell>
          <cell r="D183">
            <v>10362.332177591948</v>
          </cell>
          <cell r="E183">
            <v>0</v>
          </cell>
          <cell r="F183">
            <v>0</v>
          </cell>
          <cell r="G183">
            <v>0</v>
          </cell>
          <cell r="H183">
            <v>0</v>
          </cell>
          <cell r="I183">
            <v>0</v>
          </cell>
        </row>
        <row r="184">
          <cell r="A184">
            <v>167</v>
          </cell>
          <cell r="B184">
            <v>44440</v>
          </cell>
          <cell r="C184">
            <v>0</v>
          </cell>
          <cell r="D184">
            <v>10362.332177591948</v>
          </cell>
          <cell r="E184">
            <v>0</v>
          </cell>
          <cell r="F184">
            <v>0</v>
          </cell>
          <cell r="G184">
            <v>0</v>
          </cell>
          <cell r="H184">
            <v>0</v>
          </cell>
          <cell r="I184">
            <v>0</v>
          </cell>
        </row>
        <row r="185">
          <cell r="A185">
            <v>168</v>
          </cell>
          <cell r="B185">
            <v>44470</v>
          </cell>
          <cell r="C185">
            <v>0</v>
          </cell>
          <cell r="D185">
            <v>10362.332177591948</v>
          </cell>
          <cell r="E185">
            <v>0</v>
          </cell>
          <cell r="F185">
            <v>0</v>
          </cell>
          <cell r="G185">
            <v>0</v>
          </cell>
          <cell r="H185">
            <v>0</v>
          </cell>
          <cell r="I185">
            <v>0</v>
          </cell>
        </row>
        <row r="186">
          <cell r="A186">
            <v>169</v>
          </cell>
          <cell r="B186">
            <v>44501</v>
          </cell>
          <cell r="C186">
            <v>0</v>
          </cell>
          <cell r="D186">
            <v>10362.332177591948</v>
          </cell>
          <cell r="E186">
            <v>0</v>
          </cell>
          <cell r="F186">
            <v>0</v>
          </cell>
          <cell r="G186">
            <v>0</v>
          </cell>
          <cell r="H186">
            <v>0</v>
          </cell>
          <cell r="I186">
            <v>0</v>
          </cell>
        </row>
        <row r="187">
          <cell r="A187">
            <v>170</v>
          </cell>
          <cell r="B187">
            <v>44531</v>
          </cell>
          <cell r="C187">
            <v>0</v>
          </cell>
          <cell r="D187">
            <v>10362.332177591948</v>
          </cell>
          <cell r="E187">
            <v>0</v>
          </cell>
          <cell r="F187">
            <v>0</v>
          </cell>
          <cell r="G187">
            <v>0</v>
          </cell>
          <cell r="H187">
            <v>0</v>
          </cell>
          <cell r="I187">
            <v>0</v>
          </cell>
        </row>
        <row r="188">
          <cell r="A188">
            <v>171</v>
          </cell>
          <cell r="B188">
            <v>44562</v>
          </cell>
          <cell r="C188">
            <v>0</v>
          </cell>
          <cell r="D188">
            <v>10362.332177591948</v>
          </cell>
          <cell r="E188">
            <v>0</v>
          </cell>
          <cell r="F188">
            <v>0</v>
          </cell>
          <cell r="G188">
            <v>0</v>
          </cell>
          <cell r="H188">
            <v>0</v>
          </cell>
          <cell r="I188">
            <v>0</v>
          </cell>
        </row>
        <row r="189">
          <cell r="A189">
            <v>172</v>
          </cell>
          <cell r="B189">
            <v>44593</v>
          </cell>
          <cell r="C189">
            <v>0</v>
          </cell>
          <cell r="D189">
            <v>10362.332177591948</v>
          </cell>
          <cell r="E189">
            <v>0</v>
          </cell>
          <cell r="F189">
            <v>0</v>
          </cell>
          <cell r="G189">
            <v>0</v>
          </cell>
          <cell r="H189">
            <v>0</v>
          </cell>
          <cell r="I189">
            <v>0</v>
          </cell>
        </row>
        <row r="190">
          <cell r="A190">
            <v>173</v>
          </cell>
          <cell r="B190">
            <v>44621</v>
          </cell>
          <cell r="C190">
            <v>0</v>
          </cell>
          <cell r="D190">
            <v>10362.332177591948</v>
          </cell>
          <cell r="E190">
            <v>0</v>
          </cell>
          <cell r="F190">
            <v>0</v>
          </cell>
          <cell r="G190">
            <v>0</v>
          </cell>
          <cell r="H190">
            <v>0</v>
          </cell>
          <cell r="I190">
            <v>0</v>
          </cell>
        </row>
        <row r="191">
          <cell r="A191">
            <v>174</v>
          </cell>
          <cell r="B191">
            <v>44652</v>
          </cell>
          <cell r="C191">
            <v>0</v>
          </cell>
          <cell r="D191">
            <v>10362.332177591948</v>
          </cell>
          <cell r="E191">
            <v>0</v>
          </cell>
          <cell r="F191">
            <v>0</v>
          </cell>
          <cell r="G191">
            <v>0</v>
          </cell>
          <cell r="H191">
            <v>0</v>
          </cell>
          <cell r="I191">
            <v>0</v>
          </cell>
        </row>
        <row r="192">
          <cell r="A192">
            <v>175</v>
          </cell>
          <cell r="B192">
            <v>44682</v>
          </cell>
          <cell r="C192">
            <v>0</v>
          </cell>
          <cell r="D192">
            <v>10362.332177591948</v>
          </cell>
          <cell r="E192">
            <v>0</v>
          </cell>
          <cell r="F192">
            <v>0</v>
          </cell>
          <cell r="G192">
            <v>0</v>
          </cell>
          <cell r="H192">
            <v>0</v>
          </cell>
          <cell r="I192">
            <v>0</v>
          </cell>
        </row>
        <row r="193">
          <cell r="A193">
            <v>176</v>
          </cell>
          <cell r="B193">
            <v>44713</v>
          </cell>
          <cell r="C193">
            <v>0</v>
          </cell>
          <cell r="D193">
            <v>10362.332177591948</v>
          </cell>
          <cell r="E193">
            <v>0</v>
          </cell>
          <cell r="F193">
            <v>0</v>
          </cell>
          <cell r="G193">
            <v>0</v>
          </cell>
          <cell r="H193">
            <v>0</v>
          </cell>
          <cell r="I193">
            <v>0</v>
          </cell>
        </row>
        <row r="194">
          <cell r="A194">
            <v>177</v>
          </cell>
          <cell r="B194">
            <v>44743</v>
          </cell>
          <cell r="C194">
            <v>0</v>
          </cell>
          <cell r="D194">
            <v>10362.332177591948</v>
          </cell>
          <cell r="E194">
            <v>0</v>
          </cell>
          <cell r="F194">
            <v>0</v>
          </cell>
          <cell r="G194">
            <v>0</v>
          </cell>
          <cell r="H194">
            <v>0</v>
          </cell>
          <cell r="I194">
            <v>0</v>
          </cell>
        </row>
        <row r="195">
          <cell r="A195">
            <v>178</v>
          </cell>
          <cell r="B195">
            <v>44774</v>
          </cell>
          <cell r="C195">
            <v>0</v>
          </cell>
          <cell r="D195">
            <v>10362.332177591948</v>
          </cell>
          <cell r="E195">
            <v>0</v>
          </cell>
          <cell r="F195">
            <v>0</v>
          </cell>
          <cell r="G195">
            <v>0</v>
          </cell>
          <cell r="H195">
            <v>0</v>
          </cell>
          <cell r="I195">
            <v>0</v>
          </cell>
        </row>
        <row r="196">
          <cell r="A196">
            <v>179</v>
          </cell>
          <cell r="B196">
            <v>44805</v>
          </cell>
          <cell r="C196">
            <v>0</v>
          </cell>
          <cell r="D196">
            <v>10362.332177591948</v>
          </cell>
          <cell r="E196">
            <v>0</v>
          </cell>
          <cell r="F196">
            <v>0</v>
          </cell>
          <cell r="G196">
            <v>0</v>
          </cell>
          <cell r="H196">
            <v>0</v>
          </cell>
          <cell r="I196">
            <v>0</v>
          </cell>
        </row>
        <row r="197">
          <cell r="A197">
            <v>180</v>
          </cell>
          <cell r="B197">
            <v>44835</v>
          </cell>
          <cell r="C197">
            <v>0</v>
          </cell>
          <cell r="D197">
            <v>10362.332177591948</v>
          </cell>
          <cell r="E197">
            <v>0</v>
          </cell>
          <cell r="F197">
            <v>0</v>
          </cell>
          <cell r="G197">
            <v>0</v>
          </cell>
          <cell r="H197">
            <v>0</v>
          </cell>
          <cell r="I197">
            <v>0</v>
          </cell>
        </row>
        <row r="198">
          <cell r="A198">
            <v>181</v>
          </cell>
          <cell r="B198">
            <v>44866</v>
          </cell>
          <cell r="C198">
            <v>0</v>
          </cell>
          <cell r="D198">
            <v>10362.332177591948</v>
          </cell>
          <cell r="E198">
            <v>0</v>
          </cell>
          <cell r="F198">
            <v>0</v>
          </cell>
          <cell r="G198">
            <v>0</v>
          </cell>
          <cell r="H198">
            <v>0</v>
          </cell>
          <cell r="I198">
            <v>0</v>
          </cell>
        </row>
        <row r="199">
          <cell r="A199">
            <v>182</v>
          </cell>
          <cell r="B199">
            <v>44896</v>
          </cell>
          <cell r="C199">
            <v>0</v>
          </cell>
          <cell r="D199">
            <v>10362.332177591948</v>
          </cell>
          <cell r="E199">
            <v>0</v>
          </cell>
          <cell r="F199">
            <v>0</v>
          </cell>
          <cell r="G199">
            <v>0</v>
          </cell>
          <cell r="H199">
            <v>0</v>
          </cell>
          <cell r="I199">
            <v>0</v>
          </cell>
        </row>
        <row r="200">
          <cell r="A200">
            <v>183</v>
          </cell>
          <cell r="B200">
            <v>44927</v>
          </cell>
          <cell r="C200">
            <v>0</v>
          </cell>
          <cell r="D200">
            <v>10362.332177591948</v>
          </cell>
          <cell r="E200">
            <v>0</v>
          </cell>
          <cell r="F200">
            <v>0</v>
          </cell>
          <cell r="G200">
            <v>0</v>
          </cell>
          <cell r="H200">
            <v>0</v>
          </cell>
          <cell r="I200">
            <v>0</v>
          </cell>
        </row>
        <row r="201">
          <cell r="A201">
            <v>184</v>
          </cell>
          <cell r="B201">
            <v>44958</v>
          </cell>
          <cell r="C201">
            <v>0</v>
          </cell>
          <cell r="D201">
            <v>10362.332177591948</v>
          </cell>
          <cell r="E201">
            <v>0</v>
          </cell>
          <cell r="F201">
            <v>0</v>
          </cell>
          <cell r="G201">
            <v>0</v>
          </cell>
          <cell r="H201">
            <v>0</v>
          </cell>
          <cell r="I201">
            <v>0</v>
          </cell>
        </row>
        <row r="202">
          <cell r="A202">
            <v>185</v>
          </cell>
          <cell r="B202">
            <v>44986</v>
          </cell>
          <cell r="C202">
            <v>0</v>
          </cell>
          <cell r="D202">
            <v>10362.332177591948</v>
          </cell>
          <cell r="E202">
            <v>0</v>
          </cell>
          <cell r="F202">
            <v>0</v>
          </cell>
          <cell r="G202">
            <v>0</v>
          </cell>
          <cell r="H202">
            <v>0</v>
          </cell>
          <cell r="I202">
            <v>0</v>
          </cell>
        </row>
        <row r="203">
          <cell r="A203">
            <v>186</v>
          </cell>
          <cell r="B203">
            <v>45017</v>
          </cell>
          <cell r="C203">
            <v>0</v>
          </cell>
          <cell r="D203">
            <v>10362.332177591948</v>
          </cell>
          <cell r="E203">
            <v>0</v>
          </cell>
          <cell r="F203">
            <v>0</v>
          </cell>
          <cell r="G203">
            <v>0</v>
          </cell>
          <cell r="H203">
            <v>0</v>
          </cell>
          <cell r="I203">
            <v>0</v>
          </cell>
        </row>
        <row r="204">
          <cell r="A204">
            <v>187</v>
          </cell>
          <cell r="B204">
            <v>45047</v>
          </cell>
          <cell r="C204">
            <v>0</v>
          </cell>
          <cell r="D204">
            <v>10362.332177591948</v>
          </cell>
          <cell r="E204">
            <v>0</v>
          </cell>
          <cell r="F204">
            <v>0</v>
          </cell>
          <cell r="G204">
            <v>0</v>
          </cell>
          <cell r="H204">
            <v>0</v>
          </cell>
          <cell r="I204">
            <v>0</v>
          </cell>
        </row>
        <row r="205">
          <cell r="A205">
            <v>188</v>
          </cell>
          <cell r="B205">
            <v>45078</v>
          </cell>
          <cell r="C205">
            <v>0</v>
          </cell>
          <cell r="D205">
            <v>10362.332177591948</v>
          </cell>
          <cell r="E205">
            <v>0</v>
          </cell>
          <cell r="F205">
            <v>0</v>
          </cell>
          <cell r="G205">
            <v>0</v>
          </cell>
          <cell r="H205">
            <v>0</v>
          </cell>
          <cell r="I205">
            <v>0</v>
          </cell>
        </row>
        <row r="206">
          <cell r="A206">
            <v>189</v>
          </cell>
          <cell r="B206">
            <v>45108</v>
          </cell>
          <cell r="C206">
            <v>0</v>
          </cell>
          <cell r="D206">
            <v>10362.332177591948</v>
          </cell>
          <cell r="E206">
            <v>0</v>
          </cell>
          <cell r="F206">
            <v>0</v>
          </cell>
          <cell r="G206">
            <v>0</v>
          </cell>
          <cell r="H206">
            <v>0</v>
          </cell>
          <cell r="I206">
            <v>0</v>
          </cell>
        </row>
        <row r="207">
          <cell r="A207">
            <v>190</v>
          </cell>
          <cell r="B207">
            <v>45139</v>
          </cell>
          <cell r="C207">
            <v>0</v>
          </cell>
          <cell r="D207">
            <v>10362.332177591948</v>
          </cell>
          <cell r="E207">
            <v>0</v>
          </cell>
          <cell r="F207">
            <v>0</v>
          </cell>
          <cell r="G207">
            <v>0</v>
          </cell>
          <cell r="H207">
            <v>0</v>
          </cell>
          <cell r="I207">
            <v>0</v>
          </cell>
        </row>
        <row r="208">
          <cell r="A208">
            <v>191</v>
          </cell>
          <cell r="B208">
            <v>45170</v>
          </cell>
          <cell r="C208">
            <v>0</v>
          </cell>
          <cell r="D208">
            <v>10362.332177591948</v>
          </cell>
          <cell r="E208">
            <v>0</v>
          </cell>
          <cell r="F208">
            <v>0</v>
          </cell>
          <cell r="G208">
            <v>0</v>
          </cell>
          <cell r="H208">
            <v>0</v>
          </cell>
          <cell r="I208">
            <v>0</v>
          </cell>
        </row>
        <row r="209">
          <cell r="A209">
            <v>192</v>
          </cell>
          <cell r="B209">
            <v>45200</v>
          </cell>
          <cell r="C209">
            <v>0</v>
          </cell>
          <cell r="D209">
            <v>10362.332177591948</v>
          </cell>
          <cell r="E209">
            <v>0</v>
          </cell>
          <cell r="F209">
            <v>0</v>
          </cell>
          <cell r="G209">
            <v>0</v>
          </cell>
          <cell r="H209">
            <v>0</v>
          </cell>
          <cell r="I209">
            <v>0</v>
          </cell>
        </row>
        <row r="210">
          <cell r="A210">
            <v>193</v>
          </cell>
          <cell r="B210">
            <v>45231</v>
          </cell>
          <cell r="C210">
            <v>0</v>
          </cell>
          <cell r="D210">
            <v>10362.332177591948</v>
          </cell>
          <cell r="E210">
            <v>0</v>
          </cell>
          <cell r="F210">
            <v>0</v>
          </cell>
          <cell r="G210">
            <v>0</v>
          </cell>
          <cell r="H210">
            <v>0</v>
          </cell>
          <cell r="I210">
            <v>0</v>
          </cell>
        </row>
        <row r="211">
          <cell r="A211">
            <v>194</v>
          </cell>
          <cell r="B211">
            <v>45261</v>
          </cell>
          <cell r="C211">
            <v>0</v>
          </cell>
          <cell r="D211">
            <v>10362.332177591948</v>
          </cell>
          <cell r="E211">
            <v>0</v>
          </cell>
          <cell r="F211">
            <v>0</v>
          </cell>
          <cell r="G211">
            <v>0</v>
          </cell>
          <cell r="H211">
            <v>0</v>
          </cell>
          <cell r="I211">
            <v>0</v>
          </cell>
        </row>
        <row r="212">
          <cell r="A212">
            <v>195</v>
          </cell>
          <cell r="B212">
            <v>45292</v>
          </cell>
          <cell r="C212">
            <v>0</v>
          </cell>
          <cell r="D212">
            <v>10362.332177591948</v>
          </cell>
          <cell r="E212">
            <v>0</v>
          </cell>
          <cell r="F212">
            <v>0</v>
          </cell>
          <cell r="G212">
            <v>0</v>
          </cell>
          <cell r="H212">
            <v>0</v>
          </cell>
          <cell r="I212">
            <v>0</v>
          </cell>
        </row>
        <row r="213">
          <cell r="A213">
            <v>196</v>
          </cell>
          <cell r="B213">
            <v>45323</v>
          </cell>
          <cell r="C213">
            <v>0</v>
          </cell>
          <cell r="D213">
            <v>10362.332177591948</v>
          </cell>
          <cell r="E213">
            <v>0</v>
          </cell>
          <cell r="F213">
            <v>0</v>
          </cell>
          <cell r="G213">
            <v>0</v>
          </cell>
          <cell r="H213">
            <v>0</v>
          </cell>
          <cell r="I213">
            <v>0</v>
          </cell>
        </row>
        <row r="214">
          <cell r="A214">
            <v>197</v>
          </cell>
          <cell r="B214">
            <v>45352</v>
          </cell>
          <cell r="C214">
            <v>0</v>
          </cell>
          <cell r="D214">
            <v>10362.332177591948</v>
          </cell>
          <cell r="E214">
            <v>0</v>
          </cell>
          <cell r="F214">
            <v>0</v>
          </cell>
          <cell r="G214">
            <v>0</v>
          </cell>
          <cell r="H214">
            <v>0</v>
          </cell>
          <cell r="I214">
            <v>0</v>
          </cell>
        </row>
        <row r="215">
          <cell r="A215">
            <v>198</v>
          </cell>
          <cell r="B215">
            <v>45383</v>
          </cell>
          <cell r="C215">
            <v>0</v>
          </cell>
          <cell r="D215">
            <v>10362.332177591948</v>
          </cell>
          <cell r="E215">
            <v>0</v>
          </cell>
          <cell r="F215">
            <v>0</v>
          </cell>
          <cell r="G215">
            <v>0</v>
          </cell>
          <cell r="H215">
            <v>0</v>
          </cell>
          <cell r="I215">
            <v>0</v>
          </cell>
        </row>
        <row r="216">
          <cell r="A216">
            <v>199</v>
          </cell>
          <cell r="B216">
            <v>45413</v>
          </cell>
          <cell r="C216">
            <v>0</v>
          </cell>
          <cell r="D216">
            <v>10362.332177591948</v>
          </cell>
          <cell r="E216">
            <v>0</v>
          </cell>
          <cell r="F216">
            <v>0</v>
          </cell>
          <cell r="G216">
            <v>0</v>
          </cell>
          <cell r="H216">
            <v>0</v>
          </cell>
          <cell r="I216">
            <v>0</v>
          </cell>
        </row>
        <row r="217">
          <cell r="A217">
            <v>200</v>
          </cell>
          <cell r="B217">
            <v>45444</v>
          </cell>
          <cell r="C217">
            <v>0</v>
          </cell>
          <cell r="D217">
            <v>10362.332177591948</v>
          </cell>
          <cell r="E217">
            <v>0</v>
          </cell>
          <cell r="F217">
            <v>0</v>
          </cell>
          <cell r="G217">
            <v>0</v>
          </cell>
          <cell r="H217">
            <v>0</v>
          </cell>
          <cell r="I217">
            <v>0</v>
          </cell>
        </row>
        <row r="218">
          <cell r="A218">
            <v>201</v>
          </cell>
          <cell r="B218">
            <v>45474</v>
          </cell>
          <cell r="C218">
            <v>0</v>
          </cell>
          <cell r="D218">
            <v>10362.332177591948</v>
          </cell>
          <cell r="E218">
            <v>0</v>
          </cell>
          <cell r="F218">
            <v>0</v>
          </cell>
          <cell r="G218">
            <v>0</v>
          </cell>
          <cell r="H218">
            <v>0</v>
          </cell>
          <cell r="I218">
            <v>0</v>
          </cell>
        </row>
        <row r="219">
          <cell r="A219">
            <v>202</v>
          </cell>
          <cell r="B219">
            <v>45505</v>
          </cell>
          <cell r="C219">
            <v>0</v>
          </cell>
          <cell r="D219">
            <v>10362.332177591948</v>
          </cell>
          <cell r="E219">
            <v>0</v>
          </cell>
          <cell r="F219">
            <v>0</v>
          </cell>
          <cell r="G219">
            <v>0</v>
          </cell>
          <cell r="H219">
            <v>0</v>
          </cell>
          <cell r="I219">
            <v>0</v>
          </cell>
        </row>
        <row r="220">
          <cell r="A220">
            <v>203</v>
          </cell>
          <cell r="B220">
            <v>45536</v>
          </cell>
          <cell r="C220">
            <v>0</v>
          </cell>
          <cell r="D220">
            <v>10362.332177591948</v>
          </cell>
          <cell r="E220">
            <v>0</v>
          </cell>
          <cell r="F220">
            <v>0</v>
          </cell>
          <cell r="G220">
            <v>0</v>
          </cell>
          <cell r="H220">
            <v>0</v>
          </cell>
          <cell r="I220">
            <v>0</v>
          </cell>
        </row>
        <row r="221">
          <cell r="A221">
            <v>204</v>
          </cell>
          <cell r="B221">
            <v>45566</v>
          </cell>
          <cell r="C221">
            <v>0</v>
          </cell>
          <cell r="D221">
            <v>10362.332177591948</v>
          </cell>
          <cell r="E221">
            <v>0</v>
          </cell>
          <cell r="F221">
            <v>0</v>
          </cell>
          <cell r="G221">
            <v>0</v>
          </cell>
          <cell r="H221">
            <v>0</v>
          </cell>
          <cell r="I221">
            <v>0</v>
          </cell>
        </row>
        <row r="222">
          <cell r="A222">
            <v>205</v>
          </cell>
          <cell r="B222">
            <v>45597</v>
          </cell>
          <cell r="C222">
            <v>0</v>
          </cell>
          <cell r="D222">
            <v>10362.332177591948</v>
          </cell>
          <cell r="E222">
            <v>0</v>
          </cell>
          <cell r="F222">
            <v>0</v>
          </cell>
          <cell r="G222">
            <v>0</v>
          </cell>
          <cell r="H222">
            <v>0</v>
          </cell>
          <cell r="I222">
            <v>0</v>
          </cell>
        </row>
        <row r="223">
          <cell r="A223">
            <v>206</v>
          </cell>
          <cell r="B223">
            <v>45627</v>
          </cell>
          <cell r="C223">
            <v>0</v>
          </cell>
          <cell r="D223">
            <v>10362.332177591948</v>
          </cell>
          <cell r="E223">
            <v>0</v>
          </cell>
          <cell r="F223">
            <v>0</v>
          </cell>
          <cell r="G223">
            <v>0</v>
          </cell>
          <cell r="H223">
            <v>0</v>
          </cell>
          <cell r="I223">
            <v>0</v>
          </cell>
        </row>
        <row r="224">
          <cell r="A224">
            <v>207</v>
          </cell>
          <cell r="B224">
            <v>45658</v>
          </cell>
          <cell r="C224">
            <v>0</v>
          </cell>
          <cell r="D224">
            <v>10362.332177591948</v>
          </cell>
          <cell r="E224">
            <v>0</v>
          </cell>
          <cell r="F224">
            <v>0</v>
          </cell>
          <cell r="G224">
            <v>0</v>
          </cell>
          <cell r="H224">
            <v>0</v>
          </cell>
          <cell r="I224">
            <v>0</v>
          </cell>
        </row>
        <row r="225">
          <cell r="A225">
            <v>208</v>
          </cell>
          <cell r="B225">
            <v>45689</v>
          </cell>
          <cell r="C225">
            <v>0</v>
          </cell>
          <cell r="D225">
            <v>10362.332177591948</v>
          </cell>
          <cell r="E225">
            <v>0</v>
          </cell>
          <cell r="F225">
            <v>0</v>
          </cell>
          <cell r="G225">
            <v>0</v>
          </cell>
          <cell r="H225">
            <v>0</v>
          </cell>
          <cell r="I225">
            <v>0</v>
          </cell>
        </row>
        <row r="226">
          <cell r="A226">
            <v>209</v>
          </cell>
          <cell r="B226">
            <v>45717</v>
          </cell>
          <cell r="C226">
            <v>0</v>
          </cell>
          <cell r="D226">
            <v>10362.332177591948</v>
          </cell>
          <cell r="E226">
            <v>0</v>
          </cell>
          <cell r="F226">
            <v>0</v>
          </cell>
          <cell r="G226">
            <v>0</v>
          </cell>
          <cell r="H226">
            <v>0</v>
          </cell>
          <cell r="I226">
            <v>0</v>
          </cell>
        </row>
        <row r="227">
          <cell r="A227">
            <v>210</v>
          </cell>
          <cell r="B227">
            <v>45748</v>
          </cell>
          <cell r="C227">
            <v>0</v>
          </cell>
          <cell r="D227">
            <v>10362.332177591948</v>
          </cell>
          <cell r="E227">
            <v>0</v>
          </cell>
          <cell r="F227">
            <v>0</v>
          </cell>
          <cell r="G227">
            <v>0</v>
          </cell>
          <cell r="H227">
            <v>0</v>
          </cell>
          <cell r="I227">
            <v>0</v>
          </cell>
        </row>
        <row r="228">
          <cell r="A228">
            <v>211</v>
          </cell>
          <cell r="B228">
            <v>45778</v>
          </cell>
          <cell r="C228">
            <v>0</v>
          </cell>
          <cell r="D228">
            <v>10362.332177591948</v>
          </cell>
          <cell r="E228">
            <v>0</v>
          </cell>
          <cell r="F228">
            <v>0</v>
          </cell>
          <cell r="G228">
            <v>0</v>
          </cell>
          <cell r="H228">
            <v>0</v>
          </cell>
          <cell r="I228">
            <v>0</v>
          </cell>
        </row>
        <row r="229">
          <cell r="A229">
            <v>212</v>
          </cell>
          <cell r="B229">
            <v>45809</v>
          </cell>
          <cell r="C229">
            <v>0</v>
          </cell>
          <cell r="D229">
            <v>10362.332177591948</v>
          </cell>
          <cell r="E229">
            <v>0</v>
          </cell>
          <cell r="F229">
            <v>0</v>
          </cell>
          <cell r="G229">
            <v>0</v>
          </cell>
          <cell r="H229">
            <v>0</v>
          </cell>
          <cell r="I229">
            <v>0</v>
          </cell>
        </row>
        <row r="230">
          <cell r="A230">
            <v>213</v>
          </cell>
          <cell r="B230">
            <v>45839</v>
          </cell>
          <cell r="C230">
            <v>0</v>
          </cell>
          <cell r="D230">
            <v>10362.332177591948</v>
          </cell>
          <cell r="E230">
            <v>0</v>
          </cell>
          <cell r="F230">
            <v>0</v>
          </cell>
          <cell r="G230">
            <v>0</v>
          </cell>
          <cell r="H230">
            <v>0</v>
          </cell>
          <cell r="I230">
            <v>0</v>
          </cell>
        </row>
        <row r="231">
          <cell r="A231">
            <v>214</v>
          </cell>
          <cell r="B231">
            <v>45870</v>
          </cell>
          <cell r="C231">
            <v>0</v>
          </cell>
          <cell r="D231">
            <v>10362.332177591948</v>
          </cell>
          <cell r="E231">
            <v>0</v>
          </cell>
          <cell r="F231">
            <v>0</v>
          </cell>
          <cell r="G231">
            <v>0</v>
          </cell>
          <cell r="H231">
            <v>0</v>
          </cell>
          <cell r="I231">
            <v>0</v>
          </cell>
        </row>
        <row r="232">
          <cell r="A232">
            <v>215</v>
          </cell>
          <cell r="B232">
            <v>45901</v>
          </cell>
          <cell r="C232">
            <v>0</v>
          </cell>
          <cell r="D232">
            <v>10362.332177591948</v>
          </cell>
          <cell r="E232">
            <v>0</v>
          </cell>
          <cell r="F232">
            <v>0</v>
          </cell>
          <cell r="G232">
            <v>0</v>
          </cell>
          <cell r="H232">
            <v>0</v>
          </cell>
          <cell r="I232">
            <v>0</v>
          </cell>
        </row>
        <row r="233">
          <cell r="A233">
            <v>216</v>
          </cell>
          <cell r="B233">
            <v>45931</v>
          </cell>
          <cell r="C233">
            <v>0</v>
          </cell>
          <cell r="D233">
            <v>10362.332177591948</v>
          </cell>
          <cell r="E233">
            <v>0</v>
          </cell>
          <cell r="F233">
            <v>0</v>
          </cell>
          <cell r="G233">
            <v>0</v>
          </cell>
          <cell r="H233">
            <v>0</v>
          </cell>
          <cell r="I233">
            <v>0</v>
          </cell>
        </row>
        <row r="234">
          <cell r="A234">
            <v>217</v>
          </cell>
          <cell r="B234">
            <v>45962</v>
          </cell>
          <cell r="C234">
            <v>0</v>
          </cell>
          <cell r="D234">
            <v>10362.332177591948</v>
          </cell>
          <cell r="E234">
            <v>0</v>
          </cell>
          <cell r="F234">
            <v>0</v>
          </cell>
          <cell r="G234">
            <v>0</v>
          </cell>
          <cell r="H234">
            <v>0</v>
          </cell>
          <cell r="I234">
            <v>0</v>
          </cell>
        </row>
        <row r="235">
          <cell r="A235">
            <v>218</v>
          </cell>
          <cell r="B235">
            <v>45992</v>
          </cell>
          <cell r="C235">
            <v>0</v>
          </cell>
          <cell r="D235">
            <v>10362.332177591948</v>
          </cell>
          <cell r="E235">
            <v>0</v>
          </cell>
          <cell r="F235">
            <v>0</v>
          </cell>
          <cell r="G235">
            <v>0</v>
          </cell>
          <cell r="H235">
            <v>0</v>
          </cell>
          <cell r="I235">
            <v>0</v>
          </cell>
        </row>
        <row r="236">
          <cell r="A236">
            <v>219</v>
          </cell>
          <cell r="B236">
            <v>46023</v>
          </cell>
          <cell r="C236">
            <v>0</v>
          </cell>
          <cell r="D236">
            <v>10362.332177591948</v>
          </cell>
          <cell r="E236">
            <v>0</v>
          </cell>
          <cell r="F236">
            <v>0</v>
          </cell>
          <cell r="G236">
            <v>0</v>
          </cell>
          <cell r="H236">
            <v>0</v>
          </cell>
          <cell r="I236">
            <v>0</v>
          </cell>
        </row>
        <row r="237">
          <cell r="A237">
            <v>220</v>
          </cell>
          <cell r="B237">
            <v>46054</v>
          </cell>
          <cell r="C237">
            <v>0</v>
          </cell>
          <cell r="D237">
            <v>10362.332177591948</v>
          </cell>
          <cell r="E237">
            <v>0</v>
          </cell>
          <cell r="F237">
            <v>0</v>
          </cell>
          <cell r="G237">
            <v>0</v>
          </cell>
          <cell r="H237">
            <v>0</v>
          </cell>
          <cell r="I237">
            <v>0</v>
          </cell>
        </row>
        <row r="238">
          <cell r="A238">
            <v>221</v>
          </cell>
          <cell r="B238">
            <v>46082</v>
          </cell>
          <cell r="C238">
            <v>0</v>
          </cell>
          <cell r="D238">
            <v>10362.332177591948</v>
          </cell>
          <cell r="E238">
            <v>0</v>
          </cell>
          <cell r="F238">
            <v>0</v>
          </cell>
          <cell r="G238">
            <v>0</v>
          </cell>
          <cell r="H238">
            <v>0</v>
          </cell>
          <cell r="I238">
            <v>0</v>
          </cell>
        </row>
        <row r="239">
          <cell r="A239">
            <v>222</v>
          </cell>
          <cell r="B239">
            <v>46113</v>
          </cell>
          <cell r="C239">
            <v>0</v>
          </cell>
          <cell r="D239">
            <v>10362.332177591948</v>
          </cell>
          <cell r="E239">
            <v>0</v>
          </cell>
          <cell r="F239">
            <v>0</v>
          </cell>
          <cell r="G239">
            <v>0</v>
          </cell>
          <cell r="H239">
            <v>0</v>
          </cell>
          <cell r="I239">
            <v>0</v>
          </cell>
        </row>
        <row r="240">
          <cell r="A240">
            <v>223</v>
          </cell>
          <cell r="B240">
            <v>46143</v>
          </cell>
          <cell r="C240">
            <v>0</v>
          </cell>
          <cell r="D240">
            <v>10362.332177591948</v>
          </cell>
          <cell r="E240">
            <v>0</v>
          </cell>
          <cell r="F240">
            <v>0</v>
          </cell>
          <cell r="G240">
            <v>0</v>
          </cell>
          <cell r="H240">
            <v>0</v>
          </cell>
          <cell r="I240">
            <v>0</v>
          </cell>
        </row>
        <row r="241">
          <cell r="A241">
            <v>224</v>
          </cell>
          <cell r="B241">
            <v>46174</v>
          </cell>
          <cell r="C241">
            <v>0</v>
          </cell>
          <cell r="D241">
            <v>10362.332177591948</v>
          </cell>
          <cell r="E241">
            <v>0</v>
          </cell>
          <cell r="F241">
            <v>0</v>
          </cell>
          <cell r="G241">
            <v>0</v>
          </cell>
          <cell r="H241">
            <v>0</v>
          </cell>
          <cell r="I241">
            <v>0</v>
          </cell>
        </row>
        <row r="242">
          <cell r="A242">
            <v>225</v>
          </cell>
          <cell r="B242">
            <v>46204</v>
          </cell>
          <cell r="C242">
            <v>0</v>
          </cell>
          <cell r="D242">
            <v>10362.332177591948</v>
          </cell>
          <cell r="E242">
            <v>0</v>
          </cell>
          <cell r="F242">
            <v>0</v>
          </cell>
          <cell r="G242">
            <v>0</v>
          </cell>
          <cell r="H242">
            <v>0</v>
          </cell>
          <cell r="I242">
            <v>0</v>
          </cell>
        </row>
        <row r="243">
          <cell r="A243">
            <v>226</v>
          </cell>
          <cell r="B243">
            <v>46235</v>
          </cell>
          <cell r="C243">
            <v>0</v>
          </cell>
          <cell r="D243">
            <v>10362.332177591948</v>
          </cell>
          <cell r="E243">
            <v>0</v>
          </cell>
          <cell r="F243">
            <v>0</v>
          </cell>
          <cell r="G243">
            <v>0</v>
          </cell>
          <cell r="H243">
            <v>0</v>
          </cell>
          <cell r="I243">
            <v>0</v>
          </cell>
        </row>
        <row r="244">
          <cell r="A244">
            <v>227</v>
          </cell>
          <cell r="B244">
            <v>46266</v>
          </cell>
          <cell r="C244">
            <v>0</v>
          </cell>
          <cell r="D244">
            <v>10362.332177591948</v>
          </cell>
          <cell r="E244">
            <v>0</v>
          </cell>
          <cell r="F244">
            <v>0</v>
          </cell>
          <cell r="G244">
            <v>0</v>
          </cell>
          <cell r="H244">
            <v>0</v>
          </cell>
          <cell r="I244">
            <v>0</v>
          </cell>
        </row>
        <row r="245">
          <cell r="A245">
            <v>228</v>
          </cell>
          <cell r="B245">
            <v>46296</v>
          </cell>
          <cell r="C245">
            <v>0</v>
          </cell>
          <cell r="D245">
            <v>10362.332177591948</v>
          </cell>
          <cell r="E245">
            <v>0</v>
          </cell>
          <cell r="F245">
            <v>0</v>
          </cell>
          <cell r="G245">
            <v>0</v>
          </cell>
          <cell r="H245">
            <v>0</v>
          </cell>
          <cell r="I245">
            <v>0</v>
          </cell>
        </row>
        <row r="246">
          <cell r="A246">
            <v>229</v>
          </cell>
          <cell r="B246">
            <v>46327</v>
          </cell>
          <cell r="C246">
            <v>0</v>
          </cell>
          <cell r="D246">
            <v>10362.332177591948</v>
          </cell>
          <cell r="E246">
            <v>0</v>
          </cell>
          <cell r="F246">
            <v>0</v>
          </cell>
          <cell r="G246">
            <v>0</v>
          </cell>
          <cell r="H246">
            <v>0</v>
          </cell>
          <cell r="I246">
            <v>0</v>
          </cell>
        </row>
        <row r="247">
          <cell r="A247">
            <v>230</v>
          </cell>
          <cell r="B247">
            <v>46357</v>
          </cell>
          <cell r="C247">
            <v>0</v>
          </cell>
          <cell r="D247">
            <v>10362.332177591948</v>
          </cell>
          <cell r="E247">
            <v>0</v>
          </cell>
          <cell r="F247">
            <v>0</v>
          </cell>
          <cell r="G247">
            <v>0</v>
          </cell>
          <cell r="H247">
            <v>0</v>
          </cell>
          <cell r="I247">
            <v>0</v>
          </cell>
        </row>
        <row r="248">
          <cell r="A248">
            <v>231</v>
          </cell>
          <cell r="B248">
            <v>46388</v>
          </cell>
          <cell r="C248">
            <v>0</v>
          </cell>
          <cell r="D248">
            <v>10362.332177591948</v>
          </cell>
          <cell r="E248">
            <v>0</v>
          </cell>
          <cell r="F248">
            <v>0</v>
          </cell>
          <cell r="G248">
            <v>0</v>
          </cell>
          <cell r="H248">
            <v>0</v>
          </cell>
          <cell r="I248">
            <v>0</v>
          </cell>
        </row>
        <row r="249">
          <cell r="A249">
            <v>232</v>
          </cell>
          <cell r="B249">
            <v>46419</v>
          </cell>
          <cell r="C249">
            <v>0</v>
          </cell>
          <cell r="D249">
            <v>10362.332177591948</v>
          </cell>
          <cell r="E249">
            <v>0</v>
          </cell>
          <cell r="F249">
            <v>0</v>
          </cell>
          <cell r="G249">
            <v>0</v>
          </cell>
          <cell r="H249">
            <v>0</v>
          </cell>
          <cell r="I249">
            <v>0</v>
          </cell>
        </row>
        <row r="250">
          <cell r="A250">
            <v>233</v>
          </cell>
          <cell r="B250">
            <v>46447</v>
          </cell>
          <cell r="C250">
            <v>0</v>
          </cell>
          <cell r="D250">
            <v>10362.332177591948</v>
          </cell>
          <cell r="E250">
            <v>0</v>
          </cell>
          <cell r="F250">
            <v>0</v>
          </cell>
          <cell r="G250">
            <v>0</v>
          </cell>
          <cell r="H250">
            <v>0</v>
          </cell>
          <cell r="I250">
            <v>0</v>
          </cell>
        </row>
        <row r="251">
          <cell r="A251">
            <v>234</v>
          </cell>
          <cell r="B251">
            <v>46478</v>
          </cell>
          <cell r="C251">
            <v>0</v>
          </cell>
          <cell r="D251">
            <v>10362.332177591948</v>
          </cell>
          <cell r="E251">
            <v>0</v>
          </cell>
          <cell r="F251">
            <v>0</v>
          </cell>
          <cell r="G251">
            <v>0</v>
          </cell>
          <cell r="H251">
            <v>0</v>
          </cell>
          <cell r="I251">
            <v>0</v>
          </cell>
        </row>
        <row r="252">
          <cell r="A252">
            <v>235</v>
          </cell>
          <cell r="B252">
            <v>46508</v>
          </cell>
          <cell r="C252">
            <v>0</v>
          </cell>
          <cell r="D252">
            <v>10362.332177591948</v>
          </cell>
          <cell r="E252">
            <v>0</v>
          </cell>
          <cell r="F252">
            <v>0</v>
          </cell>
          <cell r="G252">
            <v>0</v>
          </cell>
          <cell r="H252">
            <v>0</v>
          </cell>
          <cell r="I252">
            <v>0</v>
          </cell>
        </row>
        <row r="253">
          <cell r="A253">
            <v>236</v>
          </cell>
          <cell r="B253">
            <v>46539</v>
          </cell>
          <cell r="C253">
            <v>0</v>
          </cell>
          <cell r="D253">
            <v>10362.332177591948</v>
          </cell>
          <cell r="E253">
            <v>0</v>
          </cell>
          <cell r="F253">
            <v>0</v>
          </cell>
          <cell r="G253">
            <v>0</v>
          </cell>
          <cell r="H253">
            <v>0</v>
          </cell>
          <cell r="I253">
            <v>0</v>
          </cell>
        </row>
        <row r="254">
          <cell r="A254">
            <v>237</v>
          </cell>
          <cell r="B254">
            <v>46569</v>
          </cell>
          <cell r="C254">
            <v>0</v>
          </cell>
          <cell r="D254">
            <v>10362.332177591948</v>
          </cell>
          <cell r="E254">
            <v>0</v>
          </cell>
          <cell r="F254">
            <v>0</v>
          </cell>
          <cell r="G254">
            <v>0</v>
          </cell>
          <cell r="H254">
            <v>0</v>
          </cell>
          <cell r="I254">
            <v>0</v>
          </cell>
        </row>
        <row r="255">
          <cell r="A255">
            <v>238</v>
          </cell>
          <cell r="B255">
            <v>46600</v>
          </cell>
          <cell r="C255">
            <v>0</v>
          </cell>
          <cell r="D255">
            <v>10362.332177591948</v>
          </cell>
          <cell r="E255">
            <v>0</v>
          </cell>
          <cell r="F255">
            <v>0</v>
          </cell>
          <cell r="G255">
            <v>0</v>
          </cell>
          <cell r="H255">
            <v>0</v>
          </cell>
          <cell r="I255">
            <v>0</v>
          </cell>
        </row>
        <row r="256">
          <cell r="A256">
            <v>239</v>
          </cell>
          <cell r="B256">
            <v>46631</v>
          </cell>
          <cell r="C256">
            <v>0</v>
          </cell>
          <cell r="D256">
            <v>10362.332177591948</v>
          </cell>
          <cell r="E256">
            <v>0</v>
          </cell>
          <cell r="F256">
            <v>0</v>
          </cell>
          <cell r="G256">
            <v>0</v>
          </cell>
          <cell r="H256">
            <v>0</v>
          </cell>
          <cell r="I256">
            <v>0</v>
          </cell>
        </row>
        <row r="257">
          <cell r="A257">
            <v>240</v>
          </cell>
          <cell r="B257">
            <v>46661</v>
          </cell>
          <cell r="C257">
            <v>0</v>
          </cell>
          <cell r="D257">
            <v>10362.332177591948</v>
          </cell>
          <cell r="E257">
            <v>0</v>
          </cell>
          <cell r="F257">
            <v>0</v>
          </cell>
          <cell r="G257">
            <v>0</v>
          </cell>
          <cell r="H257">
            <v>0</v>
          </cell>
          <cell r="I257">
            <v>0</v>
          </cell>
        </row>
        <row r="258">
          <cell r="A258">
            <v>241</v>
          </cell>
          <cell r="B258">
            <v>46692</v>
          </cell>
          <cell r="C258">
            <v>0</v>
          </cell>
          <cell r="D258">
            <v>10362.332177591948</v>
          </cell>
          <cell r="E258">
            <v>0</v>
          </cell>
          <cell r="F258">
            <v>0</v>
          </cell>
          <cell r="G258">
            <v>0</v>
          </cell>
          <cell r="H258">
            <v>0</v>
          </cell>
          <cell r="I258">
            <v>0</v>
          </cell>
        </row>
        <row r="259">
          <cell r="A259">
            <v>242</v>
          </cell>
          <cell r="B259">
            <v>46722</v>
          </cell>
          <cell r="C259">
            <v>0</v>
          </cell>
          <cell r="D259">
            <v>10362.332177591948</v>
          </cell>
          <cell r="E259">
            <v>0</v>
          </cell>
          <cell r="F259">
            <v>0</v>
          </cell>
          <cell r="G259">
            <v>0</v>
          </cell>
          <cell r="H259">
            <v>0</v>
          </cell>
          <cell r="I259">
            <v>0</v>
          </cell>
        </row>
        <row r="260">
          <cell r="A260">
            <v>243</v>
          </cell>
          <cell r="B260">
            <v>46753</v>
          </cell>
          <cell r="C260">
            <v>0</v>
          </cell>
          <cell r="D260">
            <v>10362.332177591948</v>
          </cell>
          <cell r="E260">
            <v>0</v>
          </cell>
          <cell r="F260">
            <v>0</v>
          </cell>
          <cell r="G260">
            <v>0</v>
          </cell>
          <cell r="H260">
            <v>0</v>
          </cell>
          <cell r="I260">
            <v>0</v>
          </cell>
        </row>
        <row r="261">
          <cell r="A261">
            <v>244</v>
          </cell>
          <cell r="B261">
            <v>46784</v>
          </cell>
          <cell r="C261">
            <v>0</v>
          </cell>
          <cell r="D261">
            <v>10362.332177591948</v>
          </cell>
          <cell r="E261">
            <v>0</v>
          </cell>
          <cell r="F261">
            <v>0</v>
          </cell>
          <cell r="G261">
            <v>0</v>
          </cell>
          <cell r="H261">
            <v>0</v>
          </cell>
          <cell r="I261">
            <v>0</v>
          </cell>
        </row>
        <row r="262">
          <cell r="A262">
            <v>245</v>
          </cell>
          <cell r="B262">
            <v>46813</v>
          </cell>
          <cell r="C262">
            <v>0</v>
          </cell>
          <cell r="D262">
            <v>10362.332177591948</v>
          </cell>
          <cell r="E262">
            <v>0</v>
          </cell>
          <cell r="F262">
            <v>0</v>
          </cell>
          <cell r="G262">
            <v>0</v>
          </cell>
          <cell r="H262">
            <v>0</v>
          </cell>
          <cell r="I262">
            <v>0</v>
          </cell>
        </row>
        <row r="263">
          <cell r="A263">
            <v>246</v>
          </cell>
          <cell r="B263">
            <v>46844</v>
          </cell>
          <cell r="C263">
            <v>0</v>
          </cell>
          <cell r="D263">
            <v>10362.332177591948</v>
          </cell>
          <cell r="E263">
            <v>0</v>
          </cell>
          <cell r="F263">
            <v>0</v>
          </cell>
          <cell r="G263">
            <v>0</v>
          </cell>
          <cell r="H263">
            <v>0</v>
          </cell>
          <cell r="I263">
            <v>0</v>
          </cell>
        </row>
        <row r="264">
          <cell r="A264">
            <v>247</v>
          </cell>
          <cell r="B264">
            <v>46874</v>
          </cell>
          <cell r="C264">
            <v>0</v>
          </cell>
          <cell r="D264">
            <v>10362.332177591948</v>
          </cell>
          <cell r="E264">
            <v>0</v>
          </cell>
          <cell r="F264">
            <v>0</v>
          </cell>
          <cell r="G264">
            <v>0</v>
          </cell>
          <cell r="H264">
            <v>0</v>
          </cell>
          <cell r="I264">
            <v>0</v>
          </cell>
        </row>
        <row r="265">
          <cell r="A265">
            <v>248</v>
          </cell>
          <cell r="B265">
            <v>46905</v>
          </cell>
          <cell r="C265">
            <v>0</v>
          </cell>
          <cell r="D265">
            <v>10362.332177591948</v>
          </cell>
          <cell r="E265">
            <v>0</v>
          </cell>
          <cell r="F265">
            <v>0</v>
          </cell>
          <cell r="G265">
            <v>0</v>
          </cell>
          <cell r="H265">
            <v>0</v>
          </cell>
          <cell r="I265">
            <v>0</v>
          </cell>
        </row>
        <row r="266">
          <cell r="A266">
            <v>249</v>
          </cell>
          <cell r="B266">
            <v>46935</v>
          </cell>
          <cell r="C266">
            <v>0</v>
          </cell>
          <cell r="D266">
            <v>10362.332177591948</v>
          </cell>
          <cell r="E266">
            <v>0</v>
          </cell>
          <cell r="F266">
            <v>0</v>
          </cell>
          <cell r="G266">
            <v>0</v>
          </cell>
          <cell r="H266">
            <v>0</v>
          </cell>
          <cell r="I266">
            <v>0</v>
          </cell>
        </row>
        <row r="267">
          <cell r="A267">
            <v>250</v>
          </cell>
          <cell r="B267">
            <v>46966</v>
          </cell>
          <cell r="C267">
            <v>0</v>
          </cell>
          <cell r="D267">
            <v>10362.332177591948</v>
          </cell>
          <cell r="E267">
            <v>0</v>
          </cell>
          <cell r="F267">
            <v>0</v>
          </cell>
          <cell r="G267">
            <v>0</v>
          </cell>
          <cell r="H267">
            <v>0</v>
          </cell>
          <cell r="I267">
            <v>0</v>
          </cell>
        </row>
        <row r="268">
          <cell r="A268">
            <v>251</v>
          </cell>
          <cell r="B268">
            <v>46997</v>
          </cell>
          <cell r="C268">
            <v>0</v>
          </cell>
          <cell r="D268">
            <v>10362.332177591948</v>
          </cell>
          <cell r="E268">
            <v>0</v>
          </cell>
          <cell r="F268">
            <v>0</v>
          </cell>
          <cell r="G268">
            <v>0</v>
          </cell>
          <cell r="H268">
            <v>0</v>
          </cell>
          <cell r="I268">
            <v>0</v>
          </cell>
        </row>
        <row r="269">
          <cell r="A269">
            <v>252</v>
          </cell>
          <cell r="B269">
            <v>47027</v>
          </cell>
          <cell r="C269">
            <v>0</v>
          </cell>
          <cell r="D269">
            <v>10362.332177591948</v>
          </cell>
          <cell r="E269">
            <v>0</v>
          </cell>
          <cell r="F269">
            <v>0</v>
          </cell>
          <cell r="G269">
            <v>0</v>
          </cell>
          <cell r="H269">
            <v>0</v>
          </cell>
          <cell r="I269">
            <v>0</v>
          </cell>
        </row>
        <row r="270">
          <cell r="A270">
            <v>253</v>
          </cell>
          <cell r="B270">
            <v>47058</v>
          </cell>
          <cell r="C270">
            <v>0</v>
          </cell>
          <cell r="D270">
            <v>10362.332177591948</v>
          </cell>
          <cell r="E270">
            <v>0</v>
          </cell>
          <cell r="F270">
            <v>0</v>
          </cell>
          <cell r="G270">
            <v>0</v>
          </cell>
          <cell r="H270">
            <v>0</v>
          </cell>
          <cell r="I270">
            <v>0</v>
          </cell>
        </row>
        <row r="271">
          <cell r="A271">
            <v>254</v>
          </cell>
          <cell r="B271">
            <v>47088</v>
          </cell>
          <cell r="C271">
            <v>0</v>
          </cell>
          <cell r="D271">
            <v>10362.332177591948</v>
          </cell>
          <cell r="E271">
            <v>0</v>
          </cell>
          <cell r="F271">
            <v>0</v>
          </cell>
          <cell r="G271">
            <v>0</v>
          </cell>
          <cell r="H271">
            <v>0</v>
          </cell>
          <cell r="I271">
            <v>0</v>
          </cell>
        </row>
        <row r="272">
          <cell r="A272">
            <v>255</v>
          </cell>
          <cell r="B272">
            <v>47119</v>
          </cell>
          <cell r="C272">
            <v>0</v>
          </cell>
          <cell r="D272">
            <v>10362.332177591948</v>
          </cell>
          <cell r="E272">
            <v>0</v>
          </cell>
          <cell r="F272">
            <v>0</v>
          </cell>
          <cell r="G272">
            <v>0</v>
          </cell>
          <cell r="H272">
            <v>0</v>
          </cell>
          <cell r="I272">
            <v>0</v>
          </cell>
        </row>
        <row r="273">
          <cell r="A273">
            <v>256</v>
          </cell>
          <cell r="B273">
            <v>47150</v>
          </cell>
          <cell r="C273">
            <v>0</v>
          </cell>
          <cell r="D273">
            <v>10362.332177591948</v>
          </cell>
          <cell r="E273">
            <v>0</v>
          </cell>
          <cell r="F273">
            <v>0</v>
          </cell>
          <cell r="G273">
            <v>0</v>
          </cell>
          <cell r="H273">
            <v>0</v>
          </cell>
          <cell r="I273">
            <v>0</v>
          </cell>
        </row>
        <row r="274">
          <cell r="A274">
            <v>257</v>
          </cell>
          <cell r="B274">
            <v>47178</v>
          </cell>
          <cell r="C274">
            <v>0</v>
          </cell>
          <cell r="D274">
            <v>10362.332177591948</v>
          </cell>
          <cell r="E274">
            <v>0</v>
          </cell>
          <cell r="F274">
            <v>0</v>
          </cell>
          <cell r="G274">
            <v>0</v>
          </cell>
          <cell r="H274">
            <v>0</v>
          </cell>
          <cell r="I274">
            <v>0</v>
          </cell>
        </row>
        <row r="275">
          <cell r="A275">
            <v>258</v>
          </cell>
          <cell r="B275">
            <v>47209</v>
          </cell>
          <cell r="C275">
            <v>0</v>
          </cell>
          <cell r="D275">
            <v>10362.332177591948</v>
          </cell>
          <cell r="E275">
            <v>0</v>
          </cell>
          <cell r="F275">
            <v>0</v>
          </cell>
          <cell r="G275">
            <v>0</v>
          </cell>
          <cell r="H275">
            <v>0</v>
          </cell>
          <cell r="I275">
            <v>0</v>
          </cell>
        </row>
        <row r="276">
          <cell r="A276">
            <v>259</v>
          </cell>
          <cell r="B276">
            <v>47239</v>
          </cell>
          <cell r="C276">
            <v>0</v>
          </cell>
          <cell r="D276">
            <v>10362.332177591948</v>
          </cell>
          <cell r="E276">
            <v>0</v>
          </cell>
          <cell r="F276">
            <v>0</v>
          </cell>
          <cell r="G276">
            <v>0</v>
          </cell>
          <cell r="H276">
            <v>0</v>
          </cell>
          <cell r="I276">
            <v>0</v>
          </cell>
        </row>
        <row r="277">
          <cell r="A277">
            <v>260</v>
          </cell>
          <cell r="B277">
            <v>47270</v>
          </cell>
          <cell r="C277">
            <v>0</v>
          </cell>
          <cell r="D277">
            <v>10362.332177591948</v>
          </cell>
          <cell r="E277">
            <v>0</v>
          </cell>
          <cell r="F277">
            <v>0</v>
          </cell>
          <cell r="G277">
            <v>0</v>
          </cell>
          <cell r="H277">
            <v>0</v>
          </cell>
          <cell r="I277">
            <v>0</v>
          </cell>
        </row>
        <row r="278">
          <cell r="A278">
            <v>261</v>
          </cell>
          <cell r="B278">
            <v>47300</v>
          </cell>
          <cell r="C278">
            <v>0</v>
          </cell>
          <cell r="D278">
            <v>10362.332177591948</v>
          </cell>
          <cell r="E278">
            <v>0</v>
          </cell>
          <cell r="F278">
            <v>0</v>
          </cell>
          <cell r="G278">
            <v>0</v>
          </cell>
          <cell r="H278">
            <v>0</v>
          </cell>
          <cell r="I278">
            <v>0</v>
          </cell>
        </row>
        <row r="279">
          <cell r="A279">
            <v>262</v>
          </cell>
          <cell r="B279">
            <v>47331</v>
          </cell>
          <cell r="C279">
            <v>0</v>
          </cell>
          <cell r="D279">
            <v>10362.332177591948</v>
          </cell>
          <cell r="E279">
            <v>0</v>
          </cell>
          <cell r="F279">
            <v>0</v>
          </cell>
          <cell r="G279">
            <v>0</v>
          </cell>
          <cell r="H279">
            <v>0</v>
          </cell>
          <cell r="I279">
            <v>0</v>
          </cell>
        </row>
        <row r="280">
          <cell r="A280">
            <v>263</v>
          </cell>
          <cell r="B280">
            <v>47362</v>
          </cell>
          <cell r="C280">
            <v>0</v>
          </cell>
          <cell r="D280">
            <v>10362.332177591948</v>
          </cell>
          <cell r="E280">
            <v>0</v>
          </cell>
          <cell r="F280">
            <v>0</v>
          </cell>
          <cell r="G280">
            <v>0</v>
          </cell>
          <cell r="H280">
            <v>0</v>
          </cell>
          <cell r="I280">
            <v>0</v>
          </cell>
        </row>
        <row r="281">
          <cell r="A281">
            <v>264</v>
          </cell>
          <cell r="B281">
            <v>47392</v>
          </cell>
          <cell r="C281">
            <v>0</v>
          </cell>
          <cell r="D281">
            <v>10362.332177591948</v>
          </cell>
          <cell r="E281">
            <v>0</v>
          </cell>
          <cell r="F281">
            <v>0</v>
          </cell>
          <cell r="G281">
            <v>0</v>
          </cell>
          <cell r="H281">
            <v>0</v>
          </cell>
          <cell r="I281">
            <v>0</v>
          </cell>
        </row>
        <row r="282">
          <cell r="A282">
            <v>265</v>
          </cell>
          <cell r="B282">
            <v>47423</v>
          </cell>
          <cell r="C282">
            <v>0</v>
          </cell>
          <cell r="D282">
            <v>10362.332177591948</v>
          </cell>
          <cell r="E282">
            <v>0</v>
          </cell>
          <cell r="F282">
            <v>0</v>
          </cell>
          <cell r="G282">
            <v>0</v>
          </cell>
          <cell r="H282">
            <v>0</v>
          </cell>
          <cell r="I282">
            <v>0</v>
          </cell>
        </row>
        <row r="283">
          <cell r="A283">
            <v>266</v>
          </cell>
          <cell r="B283">
            <v>47453</v>
          </cell>
          <cell r="C283">
            <v>0</v>
          </cell>
          <cell r="D283">
            <v>10362.332177591948</v>
          </cell>
          <cell r="E283">
            <v>0</v>
          </cell>
          <cell r="F283">
            <v>0</v>
          </cell>
          <cell r="G283">
            <v>0</v>
          </cell>
          <cell r="H283">
            <v>0</v>
          </cell>
          <cell r="I283">
            <v>0</v>
          </cell>
        </row>
        <row r="284">
          <cell r="A284">
            <v>267</v>
          </cell>
          <cell r="B284">
            <v>47484</v>
          </cell>
          <cell r="C284">
            <v>0</v>
          </cell>
          <cell r="D284">
            <v>10362.332177591948</v>
          </cell>
          <cell r="E284">
            <v>0</v>
          </cell>
          <cell r="F284">
            <v>0</v>
          </cell>
          <cell r="G284">
            <v>0</v>
          </cell>
          <cell r="H284">
            <v>0</v>
          </cell>
          <cell r="I284">
            <v>0</v>
          </cell>
        </row>
        <row r="285">
          <cell r="A285">
            <v>268</v>
          </cell>
          <cell r="B285">
            <v>47515</v>
          </cell>
          <cell r="C285">
            <v>0</v>
          </cell>
          <cell r="D285">
            <v>10362.332177591948</v>
          </cell>
          <cell r="E285">
            <v>0</v>
          </cell>
          <cell r="F285">
            <v>0</v>
          </cell>
          <cell r="G285">
            <v>0</v>
          </cell>
          <cell r="H285">
            <v>0</v>
          </cell>
          <cell r="I285">
            <v>0</v>
          </cell>
        </row>
        <row r="286">
          <cell r="A286">
            <v>269</v>
          </cell>
          <cell r="B286">
            <v>47543</v>
          </cell>
          <cell r="C286">
            <v>0</v>
          </cell>
          <cell r="D286">
            <v>10362.332177591948</v>
          </cell>
          <cell r="E286">
            <v>0</v>
          </cell>
          <cell r="F286">
            <v>0</v>
          </cell>
          <cell r="G286">
            <v>0</v>
          </cell>
          <cell r="H286">
            <v>0</v>
          </cell>
          <cell r="I286">
            <v>0</v>
          </cell>
        </row>
        <row r="287">
          <cell r="A287">
            <v>270</v>
          </cell>
          <cell r="B287">
            <v>47574</v>
          </cell>
          <cell r="C287">
            <v>0</v>
          </cell>
          <cell r="D287">
            <v>10362.332177591948</v>
          </cell>
          <cell r="E287">
            <v>0</v>
          </cell>
          <cell r="F287">
            <v>0</v>
          </cell>
          <cell r="G287">
            <v>0</v>
          </cell>
          <cell r="H287">
            <v>0</v>
          </cell>
          <cell r="I287">
            <v>0</v>
          </cell>
        </row>
        <row r="288">
          <cell r="A288">
            <v>271</v>
          </cell>
          <cell r="B288">
            <v>47604</v>
          </cell>
          <cell r="C288">
            <v>0</v>
          </cell>
          <cell r="D288">
            <v>10362.332177591948</v>
          </cell>
          <cell r="E288">
            <v>0</v>
          </cell>
          <cell r="F288">
            <v>0</v>
          </cell>
          <cell r="G288">
            <v>0</v>
          </cell>
          <cell r="H288">
            <v>0</v>
          </cell>
          <cell r="I288">
            <v>0</v>
          </cell>
        </row>
        <row r="289">
          <cell r="A289">
            <v>272</v>
          </cell>
          <cell r="B289">
            <v>47635</v>
          </cell>
          <cell r="C289">
            <v>0</v>
          </cell>
          <cell r="D289">
            <v>10362.332177591948</v>
          </cell>
          <cell r="E289">
            <v>0</v>
          </cell>
          <cell r="F289">
            <v>0</v>
          </cell>
          <cell r="G289">
            <v>0</v>
          </cell>
          <cell r="H289">
            <v>0</v>
          </cell>
          <cell r="I289">
            <v>0</v>
          </cell>
        </row>
        <row r="290">
          <cell r="A290">
            <v>273</v>
          </cell>
          <cell r="B290">
            <v>47665</v>
          </cell>
          <cell r="C290">
            <v>0</v>
          </cell>
          <cell r="D290">
            <v>10362.332177591948</v>
          </cell>
          <cell r="E290">
            <v>0</v>
          </cell>
          <cell r="F290">
            <v>0</v>
          </cell>
          <cell r="G290">
            <v>0</v>
          </cell>
          <cell r="H290">
            <v>0</v>
          </cell>
          <cell r="I290">
            <v>0</v>
          </cell>
        </row>
        <row r="291">
          <cell r="A291">
            <v>274</v>
          </cell>
          <cell r="B291">
            <v>47696</v>
          </cell>
          <cell r="C291">
            <v>0</v>
          </cell>
          <cell r="D291">
            <v>10362.332177591948</v>
          </cell>
          <cell r="E291">
            <v>0</v>
          </cell>
          <cell r="F291">
            <v>0</v>
          </cell>
          <cell r="G291">
            <v>0</v>
          </cell>
          <cell r="H291">
            <v>0</v>
          </cell>
          <cell r="I291">
            <v>0</v>
          </cell>
        </row>
        <row r="292">
          <cell r="A292">
            <v>275</v>
          </cell>
          <cell r="B292">
            <v>47727</v>
          </cell>
          <cell r="C292">
            <v>0</v>
          </cell>
          <cell r="D292">
            <v>10362.332177591948</v>
          </cell>
          <cell r="E292">
            <v>0</v>
          </cell>
          <cell r="F292">
            <v>0</v>
          </cell>
          <cell r="G292">
            <v>0</v>
          </cell>
          <cell r="H292">
            <v>0</v>
          </cell>
          <cell r="I292">
            <v>0</v>
          </cell>
        </row>
        <row r="293">
          <cell r="A293">
            <v>276</v>
          </cell>
          <cell r="B293">
            <v>47757</v>
          </cell>
          <cell r="C293">
            <v>0</v>
          </cell>
          <cell r="D293">
            <v>10362.332177591948</v>
          </cell>
          <cell r="E293">
            <v>0</v>
          </cell>
          <cell r="F293">
            <v>0</v>
          </cell>
          <cell r="G293">
            <v>0</v>
          </cell>
          <cell r="H293">
            <v>0</v>
          </cell>
          <cell r="I293">
            <v>0</v>
          </cell>
        </row>
        <row r="294">
          <cell r="A294">
            <v>277</v>
          </cell>
          <cell r="B294">
            <v>47788</v>
          </cell>
          <cell r="C294">
            <v>0</v>
          </cell>
          <cell r="D294">
            <v>10362.332177591948</v>
          </cell>
          <cell r="E294">
            <v>0</v>
          </cell>
          <cell r="F294">
            <v>0</v>
          </cell>
          <cell r="G294">
            <v>0</v>
          </cell>
          <cell r="H294">
            <v>0</v>
          </cell>
          <cell r="I294">
            <v>0</v>
          </cell>
        </row>
        <row r="295">
          <cell r="A295">
            <v>278</v>
          </cell>
          <cell r="B295">
            <v>47818</v>
          </cell>
          <cell r="C295">
            <v>0</v>
          </cell>
          <cell r="D295">
            <v>10362.332177591948</v>
          </cell>
          <cell r="E295">
            <v>0</v>
          </cell>
          <cell r="F295">
            <v>0</v>
          </cell>
          <cell r="G295">
            <v>0</v>
          </cell>
          <cell r="H295">
            <v>0</v>
          </cell>
          <cell r="I295">
            <v>0</v>
          </cell>
        </row>
        <row r="296">
          <cell r="A296">
            <v>279</v>
          </cell>
          <cell r="B296">
            <v>47849</v>
          </cell>
          <cell r="C296">
            <v>0</v>
          </cell>
          <cell r="D296">
            <v>10362.332177591948</v>
          </cell>
          <cell r="E296">
            <v>0</v>
          </cell>
          <cell r="F296">
            <v>0</v>
          </cell>
          <cell r="G296">
            <v>0</v>
          </cell>
          <cell r="H296">
            <v>0</v>
          </cell>
          <cell r="I296">
            <v>0</v>
          </cell>
        </row>
        <row r="297">
          <cell r="A297">
            <v>280</v>
          </cell>
          <cell r="B297">
            <v>47880</v>
          </cell>
          <cell r="C297">
            <v>0</v>
          </cell>
          <cell r="D297">
            <v>10362.332177591948</v>
          </cell>
          <cell r="E297">
            <v>0</v>
          </cell>
          <cell r="F297">
            <v>0</v>
          </cell>
          <cell r="G297">
            <v>0</v>
          </cell>
          <cell r="H297">
            <v>0</v>
          </cell>
          <cell r="I297">
            <v>0</v>
          </cell>
        </row>
        <row r="298">
          <cell r="A298">
            <v>281</v>
          </cell>
          <cell r="B298">
            <v>47908</v>
          </cell>
          <cell r="C298">
            <v>0</v>
          </cell>
          <cell r="D298">
            <v>10362.332177591948</v>
          </cell>
          <cell r="E298">
            <v>0</v>
          </cell>
          <cell r="F298">
            <v>0</v>
          </cell>
          <cell r="G298">
            <v>0</v>
          </cell>
          <cell r="H298">
            <v>0</v>
          </cell>
          <cell r="I298">
            <v>0</v>
          </cell>
        </row>
        <row r="299">
          <cell r="A299">
            <v>282</v>
          </cell>
          <cell r="B299">
            <v>47939</v>
          </cell>
          <cell r="C299">
            <v>0</v>
          </cell>
          <cell r="D299">
            <v>10362.332177591948</v>
          </cell>
          <cell r="E299">
            <v>0</v>
          </cell>
          <cell r="F299">
            <v>0</v>
          </cell>
          <cell r="G299">
            <v>0</v>
          </cell>
          <cell r="H299">
            <v>0</v>
          </cell>
          <cell r="I299">
            <v>0</v>
          </cell>
        </row>
        <row r="300">
          <cell r="A300">
            <v>283</v>
          </cell>
          <cell r="B300">
            <v>47969</v>
          </cell>
          <cell r="C300">
            <v>0</v>
          </cell>
          <cell r="D300">
            <v>10362.332177591948</v>
          </cell>
          <cell r="E300">
            <v>0</v>
          </cell>
          <cell r="F300">
            <v>0</v>
          </cell>
          <cell r="G300">
            <v>0</v>
          </cell>
          <cell r="H300">
            <v>0</v>
          </cell>
          <cell r="I300">
            <v>0</v>
          </cell>
        </row>
        <row r="301">
          <cell r="A301">
            <v>284</v>
          </cell>
          <cell r="B301">
            <v>48000</v>
          </cell>
          <cell r="C301">
            <v>0</v>
          </cell>
          <cell r="D301">
            <v>10362.332177591948</v>
          </cell>
          <cell r="E301">
            <v>0</v>
          </cell>
          <cell r="F301">
            <v>0</v>
          </cell>
          <cell r="G301">
            <v>0</v>
          </cell>
          <cell r="H301">
            <v>0</v>
          </cell>
          <cell r="I301">
            <v>0</v>
          </cell>
        </row>
        <row r="302">
          <cell r="A302">
            <v>285</v>
          </cell>
          <cell r="B302">
            <v>48030</v>
          </cell>
          <cell r="C302">
            <v>0</v>
          </cell>
          <cell r="D302">
            <v>10362.332177591948</v>
          </cell>
          <cell r="E302">
            <v>0</v>
          </cell>
          <cell r="F302">
            <v>0</v>
          </cell>
          <cell r="G302">
            <v>0</v>
          </cell>
          <cell r="H302">
            <v>0</v>
          </cell>
          <cell r="I302">
            <v>0</v>
          </cell>
        </row>
        <row r="303">
          <cell r="A303">
            <v>286</v>
          </cell>
          <cell r="B303">
            <v>48061</v>
          </cell>
          <cell r="C303">
            <v>0</v>
          </cell>
          <cell r="D303">
            <v>10362.332177591948</v>
          </cell>
          <cell r="E303">
            <v>0</v>
          </cell>
          <cell r="F303">
            <v>0</v>
          </cell>
          <cell r="G303">
            <v>0</v>
          </cell>
          <cell r="H303">
            <v>0</v>
          </cell>
          <cell r="I303">
            <v>0</v>
          </cell>
        </row>
        <row r="304">
          <cell r="A304">
            <v>287</v>
          </cell>
          <cell r="B304">
            <v>48092</v>
          </cell>
          <cell r="C304">
            <v>0</v>
          </cell>
          <cell r="D304">
            <v>10362.332177591948</v>
          </cell>
          <cell r="E304">
            <v>0</v>
          </cell>
          <cell r="F304">
            <v>0</v>
          </cell>
          <cell r="G304">
            <v>0</v>
          </cell>
          <cell r="H304">
            <v>0</v>
          </cell>
          <cell r="I304">
            <v>0</v>
          </cell>
        </row>
        <row r="305">
          <cell r="A305">
            <v>288</v>
          </cell>
          <cell r="B305">
            <v>48122</v>
          </cell>
          <cell r="C305">
            <v>0</v>
          </cell>
          <cell r="D305">
            <v>10362.332177591948</v>
          </cell>
          <cell r="E305">
            <v>0</v>
          </cell>
          <cell r="F305">
            <v>0</v>
          </cell>
          <cell r="G305">
            <v>0</v>
          </cell>
          <cell r="H305">
            <v>0</v>
          </cell>
          <cell r="I305">
            <v>0</v>
          </cell>
        </row>
        <row r="306">
          <cell r="A306">
            <v>289</v>
          </cell>
          <cell r="B306">
            <v>48153</v>
          </cell>
          <cell r="C306">
            <v>0</v>
          </cell>
          <cell r="D306">
            <v>10362.332177591948</v>
          </cell>
          <cell r="E306">
            <v>0</v>
          </cell>
          <cell r="F306">
            <v>0</v>
          </cell>
          <cell r="G306">
            <v>0</v>
          </cell>
          <cell r="H306">
            <v>0</v>
          </cell>
          <cell r="I306">
            <v>0</v>
          </cell>
        </row>
        <row r="307">
          <cell r="A307">
            <v>290</v>
          </cell>
          <cell r="B307">
            <v>48183</v>
          </cell>
          <cell r="C307">
            <v>0</v>
          </cell>
          <cell r="D307">
            <v>10362.332177591948</v>
          </cell>
          <cell r="E307">
            <v>0</v>
          </cell>
          <cell r="F307">
            <v>0</v>
          </cell>
          <cell r="G307">
            <v>0</v>
          </cell>
          <cell r="H307">
            <v>0</v>
          </cell>
          <cell r="I307">
            <v>0</v>
          </cell>
        </row>
        <row r="308">
          <cell r="A308">
            <v>291</v>
          </cell>
          <cell r="B308">
            <v>48214</v>
          </cell>
          <cell r="C308">
            <v>0</v>
          </cell>
          <cell r="D308">
            <v>10362.332177591948</v>
          </cell>
          <cell r="E308">
            <v>0</v>
          </cell>
          <cell r="F308">
            <v>0</v>
          </cell>
          <cell r="G308">
            <v>0</v>
          </cell>
          <cell r="H308">
            <v>0</v>
          </cell>
          <cell r="I308">
            <v>0</v>
          </cell>
        </row>
        <row r="309">
          <cell r="A309">
            <v>292</v>
          </cell>
          <cell r="B309">
            <v>48245</v>
          </cell>
          <cell r="C309">
            <v>0</v>
          </cell>
          <cell r="D309">
            <v>10362.332177591948</v>
          </cell>
          <cell r="E309">
            <v>0</v>
          </cell>
          <cell r="F309">
            <v>0</v>
          </cell>
          <cell r="G309">
            <v>0</v>
          </cell>
          <cell r="H309">
            <v>0</v>
          </cell>
          <cell r="I309">
            <v>0</v>
          </cell>
        </row>
        <row r="310">
          <cell r="A310">
            <v>293</v>
          </cell>
          <cell r="B310">
            <v>48274</v>
          </cell>
          <cell r="C310">
            <v>0</v>
          </cell>
          <cell r="D310">
            <v>10362.332177591948</v>
          </cell>
          <cell r="E310">
            <v>0</v>
          </cell>
          <cell r="F310">
            <v>0</v>
          </cell>
          <cell r="G310">
            <v>0</v>
          </cell>
          <cell r="H310">
            <v>0</v>
          </cell>
          <cell r="I310">
            <v>0</v>
          </cell>
        </row>
        <row r="311">
          <cell r="A311">
            <v>294</v>
          </cell>
          <cell r="B311">
            <v>48305</v>
          </cell>
          <cell r="C311">
            <v>0</v>
          </cell>
          <cell r="D311">
            <v>10362.332177591948</v>
          </cell>
          <cell r="E311">
            <v>0</v>
          </cell>
          <cell r="F311">
            <v>0</v>
          </cell>
          <cell r="G311">
            <v>0</v>
          </cell>
          <cell r="H311">
            <v>0</v>
          </cell>
          <cell r="I311">
            <v>0</v>
          </cell>
        </row>
        <row r="312">
          <cell r="A312">
            <v>295</v>
          </cell>
          <cell r="B312">
            <v>48335</v>
          </cell>
          <cell r="C312">
            <v>0</v>
          </cell>
          <cell r="D312">
            <v>10362.332177591948</v>
          </cell>
          <cell r="E312">
            <v>0</v>
          </cell>
          <cell r="F312">
            <v>0</v>
          </cell>
          <cell r="G312">
            <v>0</v>
          </cell>
          <cell r="H312">
            <v>0</v>
          </cell>
          <cell r="I312">
            <v>0</v>
          </cell>
        </row>
        <row r="313">
          <cell r="A313">
            <v>296</v>
          </cell>
          <cell r="B313">
            <v>48366</v>
          </cell>
          <cell r="C313">
            <v>0</v>
          </cell>
          <cell r="D313">
            <v>10362.332177591948</v>
          </cell>
          <cell r="E313">
            <v>0</v>
          </cell>
          <cell r="F313">
            <v>0</v>
          </cell>
          <cell r="G313">
            <v>0</v>
          </cell>
          <cell r="H313">
            <v>0</v>
          </cell>
          <cell r="I313">
            <v>0</v>
          </cell>
        </row>
        <row r="314">
          <cell r="A314">
            <v>297</v>
          </cell>
          <cell r="B314">
            <v>48396</v>
          </cell>
          <cell r="C314">
            <v>0</v>
          </cell>
          <cell r="D314">
            <v>10362.332177591948</v>
          </cell>
          <cell r="E314">
            <v>0</v>
          </cell>
          <cell r="F314">
            <v>0</v>
          </cell>
          <cell r="G314">
            <v>0</v>
          </cell>
          <cell r="H314">
            <v>0</v>
          </cell>
          <cell r="I314">
            <v>0</v>
          </cell>
        </row>
        <row r="315">
          <cell r="A315">
            <v>298</v>
          </cell>
          <cell r="B315">
            <v>48427</v>
          </cell>
          <cell r="C315">
            <v>0</v>
          </cell>
          <cell r="D315">
            <v>10362.332177591948</v>
          </cell>
          <cell r="E315">
            <v>0</v>
          </cell>
          <cell r="F315">
            <v>0</v>
          </cell>
          <cell r="G315">
            <v>0</v>
          </cell>
          <cell r="H315">
            <v>0</v>
          </cell>
          <cell r="I315">
            <v>0</v>
          </cell>
        </row>
        <row r="316">
          <cell r="A316">
            <v>299</v>
          </cell>
          <cell r="B316">
            <v>48458</v>
          </cell>
          <cell r="C316">
            <v>0</v>
          </cell>
          <cell r="D316">
            <v>10362.332177591948</v>
          </cell>
          <cell r="E316">
            <v>0</v>
          </cell>
          <cell r="F316">
            <v>0</v>
          </cell>
          <cell r="G316">
            <v>0</v>
          </cell>
          <cell r="H316">
            <v>0</v>
          </cell>
          <cell r="I316">
            <v>0</v>
          </cell>
        </row>
        <row r="317">
          <cell r="A317">
            <v>300</v>
          </cell>
          <cell r="B317">
            <v>48488</v>
          </cell>
          <cell r="C317">
            <v>0</v>
          </cell>
          <cell r="D317">
            <v>10362.332177591948</v>
          </cell>
          <cell r="E317">
            <v>0</v>
          </cell>
          <cell r="F317">
            <v>0</v>
          </cell>
          <cell r="G317">
            <v>0</v>
          </cell>
          <cell r="H317">
            <v>0</v>
          </cell>
          <cell r="I317">
            <v>0</v>
          </cell>
        </row>
        <row r="318">
          <cell r="A318">
            <v>301</v>
          </cell>
          <cell r="B318">
            <v>48519</v>
          </cell>
          <cell r="C318">
            <v>0</v>
          </cell>
          <cell r="D318">
            <v>10362.332177591948</v>
          </cell>
          <cell r="E318">
            <v>0</v>
          </cell>
          <cell r="F318">
            <v>0</v>
          </cell>
          <cell r="G318">
            <v>0</v>
          </cell>
          <cell r="H318">
            <v>0</v>
          </cell>
          <cell r="I318">
            <v>0</v>
          </cell>
        </row>
        <row r="319">
          <cell r="A319">
            <v>302</v>
          </cell>
          <cell r="B319">
            <v>48549</v>
          </cell>
          <cell r="C319">
            <v>0</v>
          </cell>
          <cell r="D319">
            <v>10362.332177591948</v>
          </cell>
          <cell r="E319">
            <v>0</v>
          </cell>
          <cell r="F319">
            <v>0</v>
          </cell>
          <cell r="G319">
            <v>0</v>
          </cell>
          <cell r="H319">
            <v>0</v>
          </cell>
          <cell r="I319">
            <v>0</v>
          </cell>
        </row>
        <row r="320">
          <cell r="A320">
            <v>303</v>
          </cell>
          <cell r="B320">
            <v>48580</v>
          </cell>
          <cell r="C320">
            <v>0</v>
          </cell>
          <cell r="D320">
            <v>10362.332177591948</v>
          </cell>
          <cell r="E320">
            <v>0</v>
          </cell>
          <cell r="F320">
            <v>0</v>
          </cell>
          <cell r="G320">
            <v>0</v>
          </cell>
          <cell r="H320">
            <v>0</v>
          </cell>
          <cell r="I320">
            <v>0</v>
          </cell>
        </row>
        <row r="321">
          <cell r="A321">
            <v>304</v>
          </cell>
          <cell r="B321">
            <v>48611</v>
          </cell>
          <cell r="C321">
            <v>0</v>
          </cell>
          <cell r="D321">
            <v>10362.332177591948</v>
          </cell>
          <cell r="E321">
            <v>0</v>
          </cell>
          <cell r="F321">
            <v>0</v>
          </cell>
          <cell r="G321">
            <v>0</v>
          </cell>
          <cell r="H321">
            <v>0</v>
          </cell>
          <cell r="I321">
            <v>0</v>
          </cell>
        </row>
        <row r="322">
          <cell r="A322">
            <v>305</v>
          </cell>
          <cell r="B322">
            <v>48639</v>
          </cell>
          <cell r="C322">
            <v>0</v>
          </cell>
          <cell r="D322">
            <v>10362.332177591948</v>
          </cell>
          <cell r="E322">
            <v>0</v>
          </cell>
          <cell r="F322">
            <v>0</v>
          </cell>
          <cell r="G322">
            <v>0</v>
          </cell>
          <cell r="H322">
            <v>0</v>
          </cell>
          <cell r="I322">
            <v>0</v>
          </cell>
        </row>
        <row r="323">
          <cell r="A323">
            <v>306</v>
          </cell>
          <cell r="B323">
            <v>48670</v>
          </cell>
          <cell r="C323">
            <v>0</v>
          </cell>
          <cell r="D323">
            <v>10362.332177591948</v>
          </cell>
          <cell r="E323">
            <v>0</v>
          </cell>
          <cell r="F323">
            <v>0</v>
          </cell>
          <cell r="G323">
            <v>0</v>
          </cell>
          <cell r="H323">
            <v>0</v>
          </cell>
          <cell r="I323">
            <v>0</v>
          </cell>
        </row>
        <row r="324">
          <cell r="A324">
            <v>307</v>
          </cell>
          <cell r="B324">
            <v>48700</v>
          </cell>
          <cell r="C324">
            <v>0</v>
          </cell>
          <cell r="D324">
            <v>10362.332177591948</v>
          </cell>
          <cell r="E324">
            <v>0</v>
          </cell>
          <cell r="F324">
            <v>0</v>
          </cell>
          <cell r="G324">
            <v>0</v>
          </cell>
          <cell r="H324">
            <v>0</v>
          </cell>
          <cell r="I324">
            <v>0</v>
          </cell>
        </row>
        <row r="325">
          <cell r="A325">
            <v>308</v>
          </cell>
          <cell r="B325">
            <v>48731</v>
          </cell>
          <cell r="C325">
            <v>0</v>
          </cell>
          <cell r="D325">
            <v>10362.332177591948</v>
          </cell>
          <cell r="E325">
            <v>0</v>
          </cell>
          <cell r="F325">
            <v>0</v>
          </cell>
          <cell r="G325">
            <v>0</v>
          </cell>
          <cell r="H325">
            <v>0</v>
          </cell>
          <cell r="I325">
            <v>0</v>
          </cell>
        </row>
        <row r="326">
          <cell r="A326">
            <v>309</v>
          </cell>
          <cell r="B326">
            <v>48761</v>
          </cell>
          <cell r="C326">
            <v>0</v>
          </cell>
          <cell r="D326">
            <v>10362.332177591948</v>
          </cell>
          <cell r="E326">
            <v>0</v>
          </cell>
          <cell r="F326">
            <v>0</v>
          </cell>
          <cell r="G326">
            <v>0</v>
          </cell>
          <cell r="H326">
            <v>0</v>
          </cell>
          <cell r="I326">
            <v>0</v>
          </cell>
        </row>
        <row r="327">
          <cell r="A327">
            <v>310</v>
          </cell>
          <cell r="B327">
            <v>48792</v>
          </cell>
          <cell r="C327">
            <v>0</v>
          </cell>
          <cell r="D327">
            <v>10362.332177591948</v>
          </cell>
          <cell r="E327">
            <v>0</v>
          </cell>
          <cell r="F327">
            <v>0</v>
          </cell>
          <cell r="G327">
            <v>0</v>
          </cell>
          <cell r="H327">
            <v>0</v>
          </cell>
          <cell r="I327">
            <v>0</v>
          </cell>
        </row>
        <row r="328">
          <cell r="A328">
            <v>311</v>
          </cell>
          <cell r="B328">
            <v>48823</v>
          </cell>
          <cell r="C328">
            <v>0</v>
          </cell>
          <cell r="D328">
            <v>10362.332177591948</v>
          </cell>
          <cell r="E328">
            <v>0</v>
          </cell>
          <cell r="F328">
            <v>0</v>
          </cell>
          <cell r="G328">
            <v>0</v>
          </cell>
          <cell r="H328">
            <v>0</v>
          </cell>
          <cell r="I328">
            <v>0</v>
          </cell>
        </row>
        <row r="329">
          <cell r="A329">
            <v>312</v>
          </cell>
          <cell r="B329">
            <v>48853</v>
          </cell>
          <cell r="C329">
            <v>0</v>
          </cell>
          <cell r="D329">
            <v>10362.332177591948</v>
          </cell>
          <cell r="E329">
            <v>0</v>
          </cell>
          <cell r="F329">
            <v>0</v>
          </cell>
          <cell r="G329">
            <v>0</v>
          </cell>
          <cell r="H329">
            <v>0</v>
          </cell>
          <cell r="I329">
            <v>0</v>
          </cell>
        </row>
        <row r="330">
          <cell r="A330">
            <v>313</v>
          </cell>
          <cell r="B330">
            <v>48884</v>
          </cell>
          <cell r="C330">
            <v>0</v>
          </cell>
          <cell r="D330">
            <v>10362.332177591948</v>
          </cell>
          <cell r="E330">
            <v>0</v>
          </cell>
          <cell r="F330">
            <v>0</v>
          </cell>
          <cell r="G330">
            <v>0</v>
          </cell>
          <cell r="H330">
            <v>0</v>
          </cell>
          <cell r="I330">
            <v>0</v>
          </cell>
        </row>
        <row r="331">
          <cell r="A331">
            <v>314</v>
          </cell>
          <cell r="B331">
            <v>48914</v>
          </cell>
          <cell r="C331">
            <v>0</v>
          </cell>
          <cell r="D331">
            <v>10362.332177591948</v>
          </cell>
          <cell r="E331">
            <v>0</v>
          </cell>
          <cell r="F331">
            <v>0</v>
          </cell>
          <cell r="G331">
            <v>0</v>
          </cell>
          <cell r="H331">
            <v>0</v>
          </cell>
          <cell r="I331">
            <v>0</v>
          </cell>
        </row>
        <row r="332">
          <cell r="A332">
            <v>315</v>
          </cell>
          <cell r="B332">
            <v>48945</v>
          </cell>
          <cell r="C332">
            <v>0</v>
          </cell>
          <cell r="D332">
            <v>10362.332177591948</v>
          </cell>
          <cell r="E332">
            <v>0</v>
          </cell>
          <cell r="F332">
            <v>0</v>
          </cell>
          <cell r="G332">
            <v>0</v>
          </cell>
          <cell r="H332">
            <v>0</v>
          </cell>
          <cell r="I332">
            <v>0</v>
          </cell>
        </row>
        <row r="333">
          <cell r="A333">
            <v>316</v>
          </cell>
          <cell r="B333">
            <v>48976</v>
          </cell>
          <cell r="C333">
            <v>0</v>
          </cell>
          <cell r="D333">
            <v>10362.332177591948</v>
          </cell>
          <cell r="E333">
            <v>0</v>
          </cell>
          <cell r="F333">
            <v>0</v>
          </cell>
          <cell r="G333">
            <v>0</v>
          </cell>
          <cell r="H333">
            <v>0</v>
          </cell>
          <cell r="I333">
            <v>0</v>
          </cell>
        </row>
        <row r="334">
          <cell r="A334">
            <v>317</v>
          </cell>
          <cell r="B334">
            <v>49004</v>
          </cell>
          <cell r="C334">
            <v>0</v>
          </cell>
          <cell r="D334">
            <v>10362.332177591948</v>
          </cell>
          <cell r="E334">
            <v>0</v>
          </cell>
          <cell r="F334">
            <v>0</v>
          </cell>
          <cell r="G334">
            <v>0</v>
          </cell>
          <cell r="H334">
            <v>0</v>
          </cell>
          <cell r="I334">
            <v>0</v>
          </cell>
        </row>
        <row r="335">
          <cell r="A335">
            <v>318</v>
          </cell>
          <cell r="B335">
            <v>49035</v>
          </cell>
          <cell r="C335">
            <v>0</v>
          </cell>
          <cell r="D335">
            <v>10362.332177591948</v>
          </cell>
          <cell r="E335">
            <v>0</v>
          </cell>
          <cell r="F335">
            <v>0</v>
          </cell>
          <cell r="G335">
            <v>0</v>
          </cell>
          <cell r="H335">
            <v>0</v>
          </cell>
          <cell r="I335">
            <v>0</v>
          </cell>
        </row>
        <row r="336">
          <cell r="A336">
            <v>319</v>
          </cell>
          <cell r="B336">
            <v>49065</v>
          </cell>
          <cell r="C336">
            <v>0</v>
          </cell>
          <cell r="D336">
            <v>10362.332177591948</v>
          </cell>
          <cell r="E336">
            <v>0</v>
          </cell>
          <cell r="F336">
            <v>0</v>
          </cell>
          <cell r="G336">
            <v>0</v>
          </cell>
          <cell r="H336">
            <v>0</v>
          </cell>
          <cell r="I336">
            <v>0</v>
          </cell>
        </row>
        <row r="337">
          <cell r="A337">
            <v>320</v>
          </cell>
          <cell r="B337">
            <v>49096</v>
          </cell>
          <cell r="C337">
            <v>0</v>
          </cell>
          <cell r="D337">
            <v>10362.332177591948</v>
          </cell>
          <cell r="E337">
            <v>0</v>
          </cell>
          <cell r="F337">
            <v>0</v>
          </cell>
          <cell r="G337">
            <v>0</v>
          </cell>
          <cell r="H337">
            <v>0</v>
          </cell>
          <cell r="I337">
            <v>0</v>
          </cell>
        </row>
        <row r="338">
          <cell r="A338">
            <v>321</v>
          </cell>
          <cell r="B338">
            <v>49126</v>
          </cell>
          <cell r="C338">
            <v>0</v>
          </cell>
          <cell r="D338">
            <v>10362.332177591948</v>
          </cell>
          <cell r="E338">
            <v>0</v>
          </cell>
          <cell r="F338">
            <v>0</v>
          </cell>
          <cell r="G338">
            <v>0</v>
          </cell>
          <cell r="H338">
            <v>0</v>
          </cell>
          <cell r="I338">
            <v>0</v>
          </cell>
        </row>
        <row r="339">
          <cell r="A339">
            <v>322</v>
          </cell>
          <cell r="B339">
            <v>49157</v>
          </cell>
          <cell r="C339">
            <v>0</v>
          </cell>
          <cell r="D339">
            <v>10362.332177591948</v>
          </cell>
          <cell r="E339">
            <v>0</v>
          </cell>
          <cell r="F339">
            <v>0</v>
          </cell>
          <cell r="G339">
            <v>0</v>
          </cell>
          <cell r="H339">
            <v>0</v>
          </cell>
          <cell r="I339">
            <v>0</v>
          </cell>
        </row>
        <row r="340">
          <cell r="A340">
            <v>323</v>
          </cell>
          <cell r="B340">
            <v>49188</v>
          </cell>
          <cell r="C340">
            <v>0</v>
          </cell>
          <cell r="D340">
            <v>10362.332177591948</v>
          </cell>
          <cell r="E340">
            <v>0</v>
          </cell>
          <cell r="F340">
            <v>0</v>
          </cell>
          <cell r="G340">
            <v>0</v>
          </cell>
          <cell r="H340">
            <v>0</v>
          </cell>
          <cell r="I340">
            <v>0</v>
          </cell>
        </row>
        <row r="341">
          <cell r="A341">
            <v>324</v>
          </cell>
          <cell r="B341">
            <v>49218</v>
          </cell>
          <cell r="C341">
            <v>0</v>
          </cell>
          <cell r="D341">
            <v>10362.332177591948</v>
          </cell>
          <cell r="E341">
            <v>0</v>
          </cell>
          <cell r="F341">
            <v>0</v>
          </cell>
          <cell r="G341">
            <v>0</v>
          </cell>
          <cell r="H341">
            <v>0</v>
          </cell>
          <cell r="I341">
            <v>0</v>
          </cell>
        </row>
        <row r="342">
          <cell r="A342">
            <v>325</v>
          </cell>
          <cell r="B342">
            <v>49249</v>
          </cell>
          <cell r="C342">
            <v>0</v>
          </cell>
          <cell r="D342">
            <v>10362.332177591948</v>
          </cell>
          <cell r="E342">
            <v>0</v>
          </cell>
          <cell r="F342">
            <v>0</v>
          </cell>
          <cell r="G342">
            <v>0</v>
          </cell>
          <cell r="H342">
            <v>0</v>
          </cell>
          <cell r="I342">
            <v>0</v>
          </cell>
        </row>
        <row r="343">
          <cell r="A343">
            <v>326</v>
          </cell>
          <cell r="B343">
            <v>49279</v>
          </cell>
          <cell r="C343">
            <v>0</v>
          </cell>
          <cell r="D343">
            <v>10362.332177591948</v>
          </cell>
          <cell r="E343">
            <v>0</v>
          </cell>
          <cell r="F343">
            <v>0</v>
          </cell>
          <cell r="G343">
            <v>0</v>
          </cell>
          <cell r="H343">
            <v>0</v>
          </cell>
          <cell r="I343">
            <v>0</v>
          </cell>
        </row>
        <row r="344">
          <cell r="A344">
            <v>327</v>
          </cell>
          <cell r="B344">
            <v>49310</v>
          </cell>
          <cell r="C344">
            <v>0</v>
          </cell>
          <cell r="D344">
            <v>10362.332177591948</v>
          </cell>
          <cell r="E344">
            <v>0</v>
          </cell>
          <cell r="F344">
            <v>0</v>
          </cell>
          <cell r="G344">
            <v>0</v>
          </cell>
          <cell r="H344">
            <v>0</v>
          </cell>
          <cell r="I344">
            <v>0</v>
          </cell>
        </row>
        <row r="345">
          <cell r="A345">
            <v>328</v>
          </cell>
          <cell r="B345">
            <v>49341</v>
          </cell>
          <cell r="C345">
            <v>0</v>
          </cell>
          <cell r="D345">
            <v>10362.332177591948</v>
          </cell>
          <cell r="E345">
            <v>0</v>
          </cell>
          <cell r="F345">
            <v>0</v>
          </cell>
          <cell r="G345">
            <v>0</v>
          </cell>
          <cell r="H345">
            <v>0</v>
          </cell>
          <cell r="I345">
            <v>0</v>
          </cell>
        </row>
        <row r="346">
          <cell r="A346">
            <v>329</v>
          </cell>
          <cell r="B346">
            <v>49369</v>
          </cell>
          <cell r="C346">
            <v>0</v>
          </cell>
          <cell r="D346">
            <v>10362.332177591948</v>
          </cell>
          <cell r="E346">
            <v>0</v>
          </cell>
          <cell r="F346">
            <v>0</v>
          </cell>
          <cell r="G346">
            <v>0</v>
          </cell>
          <cell r="H346">
            <v>0</v>
          </cell>
          <cell r="I346">
            <v>0</v>
          </cell>
        </row>
        <row r="347">
          <cell r="A347">
            <v>330</v>
          </cell>
          <cell r="B347">
            <v>49400</v>
          </cell>
          <cell r="C347">
            <v>0</v>
          </cell>
          <cell r="D347">
            <v>10362.332177591948</v>
          </cell>
          <cell r="E347">
            <v>0</v>
          </cell>
          <cell r="F347">
            <v>0</v>
          </cell>
          <cell r="G347">
            <v>0</v>
          </cell>
          <cell r="H347">
            <v>0</v>
          </cell>
          <cell r="I347">
            <v>0</v>
          </cell>
        </row>
        <row r="348">
          <cell r="A348">
            <v>331</v>
          </cell>
          <cell r="B348">
            <v>49430</v>
          </cell>
          <cell r="C348">
            <v>0</v>
          </cell>
          <cell r="D348">
            <v>10362.332177591948</v>
          </cell>
          <cell r="E348">
            <v>0</v>
          </cell>
          <cell r="F348">
            <v>0</v>
          </cell>
          <cell r="G348">
            <v>0</v>
          </cell>
          <cell r="H348">
            <v>0</v>
          </cell>
          <cell r="I348">
            <v>0</v>
          </cell>
        </row>
        <row r="349">
          <cell r="A349">
            <v>332</v>
          </cell>
          <cell r="B349">
            <v>49461</v>
          </cell>
          <cell r="C349">
            <v>0</v>
          </cell>
          <cell r="D349">
            <v>10362.332177591948</v>
          </cell>
          <cell r="E349">
            <v>0</v>
          </cell>
          <cell r="F349">
            <v>0</v>
          </cell>
          <cell r="G349">
            <v>0</v>
          </cell>
          <cell r="H349">
            <v>0</v>
          </cell>
          <cell r="I349">
            <v>0</v>
          </cell>
        </row>
        <row r="350">
          <cell r="A350">
            <v>333</v>
          </cell>
          <cell r="B350">
            <v>49491</v>
          </cell>
          <cell r="C350">
            <v>0</v>
          </cell>
          <cell r="D350">
            <v>10362.332177591948</v>
          </cell>
          <cell r="E350">
            <v>0</v>
          </cell>
          <cell r="F350">
            <v>0</v>
          </cell>
          <cell r="G350">
            <v>0</v>
          </cell>
          <cell r="H350">
            <v>0</v>
          </cell>
          <cell r="I350">
            <v>0</v>
          </cell>
        </row>
        <row r="351">
          <cell r="A351">
            <v>334</v>
          </cell>
          <cell r="B351">
            <v>49522</v>
          </cell>
          <cell r="C351">
            <v>0</v>
          </cell>
          <cell r="D351">
            <v>10362.332177591948</v>
          </cell>
          <cell r="E351">
            <v>0</v>
          </cell>
          <cell r="F351">
            <v>0</v>
          </cell>
          <cell r="G351">
            <v>0</v>
          </cell>
          <cell r="H351">
            <v>0</v>
          </cell>
          <cell r="I351">
            <v>0</v>
          </cell>
        </row>
        <row r="352">
          <cell r="A352">
            <v>335</v>
          </cell>
          <cell r="B352">
            <v>49553</v>
          </cell>
          <cell r="C352">
            <v>0</v>
          </cell>
          <cell r="D352">
            <v>10362.332177591948</v>
          </cell>
          <cell r="E352">
            <v>0</v>
          </cell>
          <cell r="F352">
            <v>0</v>
          </cell>
          <cell r="G352">
            <v>0</v>
          </cell>
          <cell r="H352">
            <v>0</v>
          </cell>
          <cell r="I352">
            <v>0</v>
          </cell>
        </row>
        <row r="353">
          <cell r="A353">
            <v>336</v>
          </cell>
          <cell r="B353">
            <v>49583</v>
          </cell>
          <cell r="C353">
            <v>0</v>
          </cell>
          <cell r="D353">
            <v>10362.332177591948</v>
          </cell>
          <cell r="E353">
            <v>0</v>
          </cell>
          <cell r="F353">
            <v>0</v>
          </cell>
          <cell r="G353">
            <v>0</v>
          </cell>
          <cell r="H353">
            <v>0</v>
          </cell>
          <cell r="I353">
            <v>0</v>
          </cell>
        </row>
        <row r="354">
          <cell r="A354">
            <v>337</v>
          </cell>
          <cell r="B354">
            <v>49614</v>
          </cell>
          <cell r="C354">
            <v>0</v>
          </cell>
          <cell r="D354">
            <v>10362.332177591948</v>
          </cell>
          <cell r="E354">
            <v>0</v>
          </cell>
          <cell r="F354">
            <v>0</v>
          </cell>
          <cell r="G354">
            <v>0</v>
          </cell>
          <cell r="H354">
            <v>0</v>
          </cell>
          <cell r="I354">
            <v>0</v>
          </cell>
        </row>
        <row r="355">
          <cell r="A355">
            <v>338</v>
          </cell>
          <cell r="B355">
            <v>49644</v>
          </cell>
          <cell r="C355">
            <v>0</v>
          </cell>
          <cell r="D355">
            <v>10362.332177591948</v>
          </cell>
          <cell r="E355">
            <v>0</v>
          </cell>
          <cell r="F355">
            <v>0</v>
          </cell>
          <cell r="G355">
            <v>0</v>
          </cell>
          <cell r="H355">
            <v>0</v>
          </cell>
          <cell r="I355">
            <v>0</v>
          </cell>
        </row>
        <row r="356">
          <cell r="A356">
            <v>339</v>
          </cell>
          <cell r="B356">
            <v>49675</v>
          </cell>
          <cell r="C356">
            <v>0</v>
          </cell>
          <cell r="D356">
            <v>10362.332177591948</v>
          </cell>
          <cell r="E356">
            <v>0</v>
          </cell>
          <cell r="F356">
            <v>0</v>
          </cell>
          <cell r="G356">
            <v>0</v>
          </cell>
          <cell r="H356">
            <v>0</v>
          </cell>
          <cell r="I356">
            <v>0</v>
          </cell>
        </row>
        <row r="357">
          <cell r="A357">
            <v>340</v>
          </cell>
          <cell r="B357">
            <v>49706</v>
          </cell>
          <cell r="C357">
            <v>0</v>
          </cell>
          <cell r="D357">
            <v>10362.332177591948</v>
          </cell>
          <cell r="E357">
            <v>0</v>
          </cell>
          <cell r="F357">
            <v>0</v>
          </cell>
          <cell r="G357">
            <v>0</v>
          </cell>
          <cell r="H357">
            <v>0</v>
          </cell>
          <cell r="I357">
            <v>0</v>
          </cell>
        </row>
        <row r="358">
          <cell r="A358">
            <v>341</v>
          </cell>
          <cell r="B358">
            <v>49735</v>
          </cell>
          <cell r="C358">
            <v>0</v>
          </cell>
          <cell r="D358">
            <v>10362.332177591948</v>
          </cell>
          <cell r="E358">
            <v>0</v>
          </cell>
          <cell r="F358">
            <v>0</v>
          </cell>
          <cell r="G358">
            <v>0</v>
          </cell>
          <cell r="H358">
            <v>0</v>
          </cell>
          <cell r="I358">
            <v>0</v>
          </cell>
        </row>
        <row r="359">
          <cell r="A359">
            <v>342</v>
          </cell>
          <cell r="B359">
            <v>49766</v>
          </cell>
          <cell r="C359">
            <v>0</v>
          </cell>
          <cell r="D359">
            <v>10362.332177591948</v>
          </cell>
          <cell r="E359">
            <v>0</v>
          </cell>
          <cell r="F359">
            <v>0</v>
          </cell>
          <cell r="G359">
            <v>0</v>
          </cell>
          <cell r="H359">
            <v>0</v>
          </cell>
          <cell r="I359">
            <v>0</v>
          </cell>
        </row>
        <row r="360">
          <cell r="A360">
            <v>343</v>
          </cell>
          <cell r="B360">
            <v>49796</v>
          </cell>
          <cell r="C360">
            <v>0</v>
          </cell>
          <cell r="D360">
            <v>10362.332177591948</v>
          </cell>
          <cell r="E360">
            <v>0</v>
          </cell>
          <cell r="F360">
            <v>0</v>
          </cell>
          <cell r="G360">
            <v>0</v>
          </cell>
          <cell r="H360">
            <v>0</v>
          </cell>
          <cell r="I360">
            <v>0</v>
          </cell>
        </row>
        <row r="361">
          <cell r="A361">
            <v>344</v>
          </cell>
          <cell r="B361">
            <v>49827</v>
          </cell>
          <cell r="C361">
            <v>0</v>
          </cell>
          <cell r="D361">
            <v>10362.332177591948</v>
          </cell>
          <cell r="E361">
            <v>0</v>
          </cell>
          <cell r="F361">
            <v>0</v>
          </cell>
          <cell r="G361">
            <v>0</v>
          </cell>
          <cell r="H361">
            <v>0</v>
          </cell>
          <cell r="I361">
            <v>0</v>
          </cell>
        </row>
        <row r="362">
          <cell r="A362">
            <v>345</v>
          </cell>
          <cell r="B362">
            <v>49857</v>
          </cell>
          <cell r="C362">
            <v>0</v>
          </cell>
          <cell r="D362">
            <v>10362.332177591948</v>
          </cell>
          <cell r="E362">
            <v>0</v>
          </cell>
          <cell r="F362">
            <v>0</v>
          </cell>
          <cell r="G362">
            <v>0</v>
          </cell>
          <cell r="H362">
            <v>0</v>
          </cell>
          <cell r="I362">
            <v>0</v>
          </cell>
        </row>
        <row r="363">
          <cell r="A363">
            <v>346</v>
          </cell>
          <cell r="B363">
            <v>49888</v>
          </cell>
          <cell r="C363">
            <v>0</v>
          </cell>
          <cell r="D363">
            <v>10362.332177591948</v>
          </cell>
          <cell r="E363">
            <v>0</v>
          </cell>
          <cell r="F363">
            <v>0</v>
          </cell>
          <cell r="G363">
            <v>0</v>
          </cell>
          <cell r="H363">
            <v>0</v>
          </cell>
          <cell r="I363">
            <v>0</v>
          </cell>
        </row>
        <row r="364">
          <cell r="A364">
            <v>347</v>
          </cell>
          <cell r="B364">
            <v>49919</v>
          </cell>
          <cell r="C364">
            <v>0</v>
          </cell>
          <cell r="D364">
            <v>10362.332177591948</v>
          </cell>
          <cell r="E364">
            <v>0</v>
          </cell>
          <cell r="F364">
            <v>0</v>
          </cell>
          <cell r="G364">
            <v>0</v>
          </cell>
          <cell r="H364">
            <v>0</v>
          </cell>
          <cell r="I364">
            <v>0</v>
          </cell>
        </row>
        <row r="365">
          <cell r="A365">
            <v>348</v>
          </cell>
          <cell r="B365">
            <v>49949</v>
          </cell>
          <cell r="C365">
            <v>0</v>
          </cell>
          <cell r="D365">
            <v>10362.332177591948</v>
          </cell>
          <cell r="E365">
            <v>0</v>
          </cell>
          <cell r="F365">
            <v>0</v>
          </cell>
          <cell r="G365">
            <v>0</v>
          </cell>
          <cell r="H365">
            <v>0</v>
          </cell>
          <cell r="I365">
            <v>0</v>
          </cell>
        </row>
        <row r="366">
          <cell r="A366">
            <v>349</v>
          </cell>
          <cell r="B366">
            <v>49980</v>
          </cell>
          <cell r="C366">
            <v>0</v>
          </cell>
          <cell r="D366">
            <v>10362.332177591948</v>
          </cell>
          <cell r="E366">
            <v>0</v>
          </cell>
          <cell r="F366">
            <v>0</v>
          </cell>
          <cell r="G366">
            <v>0</v>
          </cell>
          <cell r="H366">
            <v>0</v>
          </cell>
          <cell r="I366">
            <v>0</v>
          </cell>
        </row>
        <row r="367">
          <cell r="A367">
            <v>350</v>
          </cell>
          <cell r="B367">
            <v>50010</v>
          </cell>
          <cell r="C367">
            <v>0</v>
          </cell>
          <cell r="D367">
            <v>10362.332177591948</v>
          </cell>
          <cell r="E367">
            <v>0</v>
          </cell>
          <cell r="F367">
            <v>0</v>
          </cell>
          <cell r="G367">
            <v>0</v>
          </cell>
          <cell r="H367">
            <v>0</v>
          </cell>
          <cell r="I367">
            <v>0</v>
          </cell>
        </row>
        <row r="368">
          <cell r="A368">
            <v>351</v>
          </cell>
          <cell r="B368">
            <v>50041</v>
          </cell>
          <cell r="C368">
            <v>0</v>
          </cell>
          <cell r="D368">
            <v>10362.332177591948</v>
          </cell>
          <cell r="E368">
            <v>0</v>
          </cell>
          <cell r="F368">
            <v>0</v>
          </cell>
          <cell r="G368">
            <v>0</v>
          </cell>
          <cell r="H368">
            <v>0</v>
          </cell>
          <cell r="I368">
            <v>0</v>
          </cell>
        </row>
        <row r="369">
          <cell r="A369">
            <v>352</v>
          </cell>
          <cell r="B369">
            <v>50072</v>
          </cell>
          <cell r="C369">
            <v>0</v>
          </cell>
          <cell r="D369">
            <v>10362.332177591948</v>
          </cell>
          <cell r="E369">
            <v>0</v>
          </cell>
          <cell r="F369">
            <v>0</v>
          </cell>
          <cell r="G369">
            <v>0</v>
          </cell>
          <cell r="H369">
            <v>0</v>
          </cell>
          <cell r="I369">
            <v>0</v>
          </cell>
        </row>
        <row r="370">
          <cell r="A370">
            <v>353</v>
          </cell>
          <cell r="B370">
            <v>50100</v>
          </cell>
          <cell r="C370">
            <v>0</v>
          </cell>
          <cell r="D370">
            <v>10362.332177591948</v>
          </cell>
          <cell r="E370">
            <v>0</v>
          </cell>
          <cell r="F370">
            <v>0</v>
          </cell>
          <cell r="G370">
            <v>0</v>
          </cell>
          <cell r="H370">
            <v>0</v>
          </cell>
          <cell r="I370">
            <v>0</v>
          </cell>
        </row>
        <row r="371">
          <cell r="A371">
            <v>354</v>
          </cell>
          <cell r="B371">
            <v>50131</v>
          </cell>
          <cell r="C371">
            <v>0</v>
          </cell>
          <cell r="D371">
            <v>10362.332177591948</v>
          </cell>
          <cell r="E371">
            <v>0</v>
          </cell>
          <cell r="F371">
            <v>0</v>
          </cell>
          <cell r="G371">
            <v>0</v>
          </cell>
          <cell r="H371">
            <v>0</v>
          </cell>
          <cell r="I371">
            <v>0</v>
          </cell>
        </row>
        <row r="372">
          <cell r="A372">
            <v>355</v>
          </cell>
          <cell r="B372">
            <v>50161</v>
          </cell>
          <cell r="C372">
            <v>0</v>
          </cell>
          <cell r="D372">
            <v>10362.332177591948</v>
          </cell>
          <cell r="E372">
            <v>0</v>
          </cell>
          <cell r="F372">
            <v>0</v>
          </cell>
          <cell r="G372">
            <v>0</v>
          </cell>
          <cell r="H372">
            <v>0</v>
          </cell>
          <cell r="I372">
            <v>0</v>
          </cell>
        </row>
        <row r="373">
          <cell r="A373">
            <v>356</v>
          </cell>
          <cell r="B373">
            <v>50192</v>
          </cell>
          <cell r="C373">
            <v>0</v>
          </cell>
          <cell r="D373">
            <v>10362.332177591948</v>
          </cell>
          <cell r="E373">
            <v>0</v>
          </cell>
          <cell r="F373">
            <v>0</v>
          </cell>
          <cell r="G373">
            <v>0</v>
          </cell>
          <cell r="H373">
            <v>0</v>
          </cell>
          <cell r="I373">
            <v>0</v>
          </cell>
        </row>
        <row r="374">
          <cell r="A374">
            <v>357</v>
          </cell>
          <cell r="B374">
            <v>50222</v>
          </cell>
          <cell r="C374">
            <v>0</v>
          </cell>
          <cell r="D374">
            <v>10362.332177591948</v>
          </cell>
          <cell r="E374">
            <v>0</v>
          </cell>
          <cell r="F374">
            <v>0</v>
          </cell>
          <cell r="G374">
            <v>0</v>
          </cell>
          <cell r="H374">
            <v>0</v>
          </cell>
          <cell r="I374">
            <v>0</v>
          </cell>
        </row>
        <row r="375">
          <cell r="A375">
            <v>358</v>
          </cell>
          <cell r="B375">
            <v>50253</v>
          </cell>
          <cell r="C375">
            <v>0</v>
          </cell>
          <cell r="D375">
            <v>10362.332177591948</v>
          </cell>
          <cell r="E375">
            <v>0</v>
          </cell>
          <cell r="F375">
            <v>0</v>
          </cell>
          <cell r="G375">
            <v>0</v>
          </cell>
          <cell r="H375">
            <v>0</v>
          </cell>
          <cell r="I375">
            <v>0</v>
          </cell>
        </row>
        <row r="376">
          <cell r="A376">
            <v>359</v>
          </cell>
          <cell r="B376">
            <v>50284</v>
          </cell>
          <cell r="C376">
            <v>0</v>
          </cell>
          <cell r="D376">
            <v>10362.332177591948</v>
          </cell>
          <cell r="E376">
            <v>0</v>
          </cell>
          <cell r="F376">
            <v>0</v>
          </cell>
          <cell r="G376">
            <v>0</v>
          </cell>
          <cell r="H376">
            <v>0</v>
          </cell>
          <cell r="I376">
            <v>0</v>
          </cell>
        </row>
        <row r="377">
          <cell r="A377">
            <v>360</v>
          </cell>
          <cell r="B377">
            <v>50314</v>
          </cell>
          <cell r="C377">
            <v>0</v>
          </cell>
          <cell r="D377">
            <v>10362.332177591948</v>
          </cell>
          <cell r="E377">
            <v>0</v>
          </cell>
          <cell r="F377">
            <v>0</v>
          </cell>
          <cell r="G377">
            <v>0</v>
          </cell>
          <cell r="H377">
            <v>0</v>
          </cell>
          <cell r="I377">
            <v>0</v>
          </cell>
        </row>
      </sheetData>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rocessing"/>
      <sheetName val="Speakers"/>
    </sheetNames>
    <sheetDataSet>
      <sheetData sheetId="0" refreshError="1"/>
      <sheetData sheetId="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 Estimate "/>
      <sheetName val="Data"/>
      <sheetName val="bill "/>
      <sheetName val="W E "/>
      <sheetName val="DATA "/>
      <sheetName val="Sheet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J618"/>
  <sheetViews>
    <sheetView tabSelected="1" workbookViewId="0">
      <selection activeCell="R614" sqref="R614"/>
    </sheetView>
  </sheetViews>
  <sheetFormatPr baseColWidth="8" defaultRowHeight="15"/>
  <cols>
    <col width="8" customWidth="1" min="1" max="1"/>
    <col width="14.140625" customWidth="1" style="27" min="2" max="2"/>
    <col width="3.140625" customWidth="1" min="3" max="3"/>
    <col width="65.7109375" customWidth="1" min="4" max="4"/>
    <col width="3.5703125" customWidth="1" min="5" max="5"/>
    <col width="5.42578125" customWidth="1" min="6" max="6"/>
    <col width="5" customWidth="1" min="7" max="7"/>
    <col width="5.85546875" customWidth="1" min="8" max="8"/>
    <col width="10.28515625" customWidth="1" min="9" max="9"/>
    <col width="11" customWidth="1" min="10" max="10"/>
  </cols>
  <sheetData>
    <row r="1">
      <c r="A1" s="1" t="n"/>
      <c r="B1" s="1" t="n"/>
      <c r="C1" s="1" t="n"/>
      <c r="D1" s="2" t="inlineStr">
        <is>
          <t>Skilled Electrican Salary</t>
        </is>
      </c>
      <c r="E1" s="1" t="n"/>
      <c r="F1" s="1" t="n"/>
      <c r="G1" s="1" t="n"/>
      <c r="H1" s="1" t="n"/>
      <c r="I1" s="1" t="n"/>
      <c r="J1" s="1" t="n"/>
    </row>
    <row r="2">
      <c r="A2" s="3" t="n"/>
      <c r="B2" s="3" t="n"/>
      <c r="C2" s="3" t="n"/>
      <c r="D2" s="4" t="inlineStr">
        <is>
          <t xml:space="preserve">Data </t>
        </is>
      </c>
      <c r="E2" s="3" t="n"/>
      <c r="F2" s="3" t="n"/>
      <c r="G2" s="3" t="n"/>
      <c r="H2" s="3" t="n"/>
      <c r="I2" s="3" t="n"/>
      <c r="J2" s="3" t="n"/>
    </row>
    <row r="3" ht="51" customHeight="1">
      <c r="A3" s="5" t="n"/>
      <c r="B3" s="6" t="n"/>
      <c r="C3" s="5" t="n"/>
      <c r="D3" s="7" t="inlineStr">
        <is>
          <t xml:space="preserve">Providing the services of Skilled Electrican/Wireman trade to work in shift duties as deployed by the Field Engineer   for the period from 1.04.2026 to 31.03.2027. i.e 12 Months round the clock to attend the duties under Engineer -in charge control according to their requirement. </t>
        </is>
      </c>
      <c r="E3" s="7" t="n"/>
      <c r="F3" s="7" t="n"/>
      <c r="G3" s="7" t="n"/>
      <c r="H3" s="7" t="n"/>
      <c r="I3" s="7" t="n"/>
      <c r="J3" s="7" t="n"/>
    </row>
    <row r="4" ht="25.5" customHeight="1">
      <c r="A4" s="8" t="n"/>
      <c r="B4" s="6" t="inlineStr">
        <is>
          <t>SOR 2025-26</t>
        </is>
      </c>
      <c r="C4" s="6" t="n"/>
      <c r="D4" s="9" t="inlineStr">
        <is>
          <t>a) Material</t>
        </is>
      </c>
      <c r="E4" s="10" t="inlineStr">
        <is>
          <t>Qty</t>
        </is>
      </c>
      <c r="F4" s="6" t="inlineStr">
        <is>
          <t>Unit</t>
        </is>
      </c>
      <c r="G4" s="11" t="inlineStr">
        <is>
          <t>Qty</t>
        </is>
      </c>
      <c r="H4" s="6" t="inlineStr">
        <is>
          <t>Unit</t>
        </is>
      </c>
      <c r="I4" s="10" t="inlineStr">
        <is>
          <t xml:space="preserve">Rate per year </t>
        </is>
      </c>
      <c r="J4" s="12" t="inlineStr">
        <is>
          <t>Amount</t>
        </is>
      </c>
    </row>
    <row r="5" ht="51" customHeight="1">
      <c r="A5" s="8" t="n"/>
      <c r="B5" s="13" t="inlineStr">
        <is>
          <t>(SOR 2025-26 CATEGORY- I -5)</t>
        </is>
      </c>
      <c r="C5" s="6" t="n">
        <v>1</v>
      </c>
      <c r="D5" s="9" t="inlineStr">
        <is>
          <t xml:space="preserve">Providing the services of Skilled Electrican/Wireman trade to work in shift duties as deployed by the Field Engineer   for the period from 1.04.2026 to 31.03.2027. i.e 12 Months round the clock to attend the duties under Engineer -in charge control according to their requirement.  (SOR 2025-26 ELEC- I -5) (Rs775.00 per day) </t>
        </is>
      </c>
      <c r="E5" s="14" t="n">
        <v>1</v>
      </c>
      <c r="F5" s="14" t="inlineStr">
        <is>
          <t>each</t>
        </is>
      </c>
      <c r="G5" s="14" t="n">
        <v>1</v>
      </c>
      <c r="H5" s="14" t="inlineStr">
        <is>
          <t>each</t>
        </is>
      </c>
      <c r="I5" s="15">
        <f>775*30*12</f>
        <v/>
      </c>
      <c r="J5" s="12">
        <f>I5*E5</f>
        <v/>
      </c>
    </row>
    <row r="6">
      <c r="A6" s="6" t="n"/>
      <c r="B6" s="6" t="n"/>
      <c r="C6" s="6" t="n"/>
      <c r="D6" s="9" t="inlineStr">
        <is>
          <t>Cost of materials per each</t>
        </is>
      </c>
      <c r="E6" s="10" t="n"/>
      <c r="F6" s="6" t="n"/>
      <c r="G6" s="6" t="n"/>
      <c r="H6" s="6" t="n"/>
      <c r="I6" s="10" t="n"/>
      <c r="J6" s="10">
        <f>J5</f>
        <v/>
      </c>
    </row>
    <row r="7">
      <c r="A7" s="6" t="n"/>
      <c r="B7" s="5" t="n"/>
      <c r="C7" s="6" t="n"/>
      <c r="D7" s="16" t="inlineStr">
        <is>
          <t>Rate per Year</t>
        </is>
      </c>
      <c r="E7" s="17" t="n"/>
      <c r="F7" s="5" t="n"/>
      <c r="G7" s="5" t="n"/>
      <c r="H7" s="5" t="n"/>
      <c r="I7" s="17" t="n"/>
      <c r="J7" s="17">
        <f>SUM(J6)</f>
        <v/>
      </c>
    </row>
    <row r="8">
      <c r="A8" s="6" t="n"/>
      <c r="B8" s="5" t="n"/>
      <c r="C8" s="6" t="n"/>
      <c r="D8" s="16" t="inlineStr">
        <is>
          <t>Total</t>
        </is>
      </c>
      <c r="E8" s="17" t="n"/>
      <c r="F8" s="5" t="n"/>
      <c r="G8" s="5" t="n"/>
      <c r="H8" s="5" t="n"/>
      <c r="I8" s="17" t="n"/>
      <c r="J8" s="17">
        <f>SUM(J7)</f>
        <v/>
      </c>
    </row>
    <row r="9">
      <c r="A9" s="1" t="n"/>
      <c r="B9" s="1" t="n"/>
      <c r="C9" s="1" t="n"/>
      <c r="D9" s="2" t="inlineStr">
        <is>
          <t>Semi Skilled Electrican / Helper Salary</t>
        </is>
      </c>
      <c r="E9" s="1" t="n"/>
      <c r="F9" s="1" t="n"/>
      <c r="G9" s="1" t="n"/>
      <c r="H9" s="1" t="n"/>
      <c r="I9" s="1" t="n"/>
      <c r="J9" s="1" t="n"/>
    </row>
    <row r="10">
      <c r="A10" s="4" t="n"/>
      <c r="B10" s="4" t="n"/>
      <c r="C10" s="4" t="n"/>
      <c r="D10" s="4" t="inlineStr">
        <is>
          <t xml:space="preserve">Data </t>
        </is>
      </c>
      <c r="E10" s="4" t="n"/>
      <c r="F10" s="4" t="n"/>
      <c r="G10" s="4" t="n"/>
      <c r="H10" s="4" t="n"/>
      <c r="I10" s="4" t="n"/>
      <c r="J10" s="4" t="n"/>
    </row>
    <row r="11" ht="51" customHeight="1">
      <c r="A11" s="5" t="n"/>
      <c r="B11" s="6" t="n"/>
      <c r="C11" s="5" t="n"/>
      <c r="D11" s="7" t="inlineStr">
        <is>
          <t xml:space="preserve">Providing the services of Semi Skilled Electrican / Helper trade to work in the General shift duty as deployed by the Field Engineer   for the period from 1.04.2026 to 31.03.2027 i.e 12 Months round the clock to attend the duties under Engineer -in charge control according to their requirement. </t>
        </is>
      </c>
      <c r="E11" s="7" t="n"/>
      <c r="F11" s="7" t="n"/>
      <c r="G11" s="7" t="n"/>
      <c r="H11" s="7" t="n"/>
      <c r="I11" s="7" t="n"/>
      <c r="J11" s="7" t="n"/>
    </row>
    <row r="12" ht="25.5" customHeight="1">
      <c r="A12" s="8" t="n"/>
      <c r="B12" s="6" t="inlineStr">
        <is>
          <t>SOR 2025-26</t>
        </is>
      </c>
      <c r="C12" s="6" t="n"/>
      <c r="D12" s="9" t="inlineStr">
        <is>
          <t>a) Material</t>
        </is>
      </c>
      <c r="E12" s="10" t="inlineStr">
        <is>
          <t>Qty</t>
        </is>
      </c>
      <c r="F12" s="6" t="inlineStr">
        <is>
          <t>Unit</t>
        </is>
      </c>
      <c r="G12" s="11" t="inlineStr">
        <is>
          <t>Qty</t>
        </is>
      </c>
      <c r="H12" s="6" t="inlineStr">
        <is>
          <t>Unit</t>
        </is>
      </c>
      <c r="I12" s="10" t="inlineStr">
        <is>
          <t>Rate per year</t>
        </is>
      </c>
      <c r="J12" s="12" t="inlineStr">
        <is>
          <t>Amount</t>
        </is>
      </c>
    </row>
    <row r="13" ht="76.5" customHeight="1">
      <c r="A13" s="8" t="n"/>
      <c r="B13" s="13" t="inlineStr">
        <is>
          <t>(SOR 2025-26 CATEGORY- II -34)</t>
        </is>
      </c>
      <c r="C13" s="6" t="n">
        <v>1</v>
      </c>
      <c r="D13" s="9" t="inlineStr">
        <is>
          <t xml:space="preserve">Providing the services of Semi Skilled Electrican / Helper trade to work in the General shift duty as deployed by the Field Engineer   for the period from 1.04.2026 to 31.03.2027 i.e 12 Months round the clock to attend the duties under Engineer -in charge control according to their requirement. (SOR 2025-26 ELEC- II -34) ( 365Days*650.00)
 </t>
        </is>
      </c>
      <c r="E13" s="14" t="n">
        <v>1</v>
      </c>
      <c r="F13" s="14" t="inlineStr">
        <is>
          <t>each</t>
        </is>
      </c>
      <c r="G13" s="14" t="n">
        <v>1</v>
      </c>
      <c r="H13" s="14" t="inlineStr">
        <is>
          <t>each</t>
        </is>
      </c>
      <c r="I13" s="14">
        <f>650*30*12</f>
        <v/>
      </c>
      <c r="J13" s="12">
        <f>I13*E13</f>
        <v/>
      </c>
    </row>
    <row r="14">
      <c r="A14" s="6" t="n"/>
      <c r="B14" s="6" t="n"/>
      <c r="C14" s="6" t="n"/>
      <c r="D14" s="9" t="inlineStr">
        <is>
          <t>Cost of materials per each</t>
        </is>
      </c>
      <c r="E14" s="10" t="n"/>
      <c r="F14" s="6" t="n"/>
      <c r="G14" s="6" t="n"/>
      <c r="H14" s="6" t="n"/>
      <c r="I14" s="10" t="n"/>
      <c r="J14" s="10">
        <f>J13</f>
        <v/>
      </c>
    </row>
    <row r="15">
      <c r="A15" s="6" t="n"/>
      <c r="B15" s="5" t="n"/>
      <c r="C15" s="6" t="n"/>
      <c r="D15" s="16" t="inlineStr">
        <is>
          <t>Rate per Year</t>
        </is>
      </c>
      <c r="E15" s="17" t="n"/>
      <c r="F15" s="5" t="n"/>
      <c r="G15" s="5" t="n"/>
      <c r="H15" s="5" t="n"/>
      <c r="I15" s="17" t="n"/>
      <c r="J15" s="17">
        <f>SUM(J14)</f>
        <v/>
      </c>
    </row>
    <row r="16">
      <c r="A16" s="6" t="n"/>
      <c r="B16" s="5" t="n"/>
      <c r="C16" s="6" t="n"/>
      <c r="D16" s="16" t="inlineStr">
        <is>
          <t>Total</t>
        </is>
      </c>
      <c r="E16" s="17" t="n"/>
      <c r="F16" s="5" t="n"/>
      <c r="G16" s="5" t="n"/>
      <c r="H16" s="5" t="n"/>
      <c r="I16" s="17" t="n"/>
      <c r="J16" s="17">
        <f>SUM(J15)</f>
        <v/>
      </c>
    </row>
    <row r="17">
      <c r="A17" s="1" t="n"/>
      <c r="B17" s="1" t="n"/>
      <c r="C17" s="1" t="n"/>
      <c r="D17" s="2" t="inlineStr">
        <is>
          <t>3 Plate Jumbo Ceiling Rose</t>
        </is>
      </c>
      <c r="E17" s="1" t="n"/>
      <c r="F17" s="1" t="n"/>
      <c r="G17" s="1" t="n"/>
      <c r="H17" s="1" t="n"/>
      <c r="I17" s="1" t="n"/>
      <c r="J17" s="1" t="n"/>
    </row>
    <row r="18">
      <c r="A18" s="3" t="n"/>
      <c r="B18" s="3" t="n"/>
      <c r="C18" s="3" t="n"/>
      <c r="D18" s="4" t="inlineStr">
        <is>
          <t xml:space="preserve">Data </t>
        </is>
      </c>
      <c r="E18" s="3" t="n"/>
      <c r="F18" s="3" t="n"/>
      <c r="G18" s="3" t="n"/>
      <c r="H18" s="3" t="n"/>
      <c r="I18" s="3" t="n"/>
      <c r="J18" s="3" t="n"/>
    </row>
    <row r="19" ht="38.25" customHeight="1">
      <c r="A19" s="5" t="n"/>
      <c r="B19" s="6" t="n"/>
      <c r="C19" s="5" t="n"/>
      <c r="D19" s="7" t="inlineStr">
        <is>
          <t xml:space="preserve">Replacement of u/s with new Supply of 3 Plate Jumbo Ceiling Rose.vMakes : GM G Home / Gold Medal Olive / Million Zoom / Anchor Penta Cherry / Great white Omega / HPL / Vimal / CPL. </t>
        </is>
      </c>
      <c r="E19" s="7" t="n"/>
      <c r="F19" s="7" t="n"/>
      <c r="G19" s="7" t="n"/>
      <c r="H19" s="7" t="n"/>
      <c r="I19" s="7" t="n"/>
      <c r="J19" s="7" t="n"/>
    </row>
    <row r="20" ht="25.5" customHeight="1">
      <c r="A20" s="8" t="n"/>
      <c r="B20" s="6" t="inlineStr">
        <is>
          <t>SOR 2025-26</t>
        </is>
      </c>
      <c r="C20" s="6" t="n"/>
      <c r="D20" s="9" t="inlineStr">
        <is>
          <t>a) Material</t>
        </is>
      </c>
      <c r="E20" s="10" t="inlineStr">
        <is>
          <t>Qty</t>
        </is>
      </c>
      <c r="F20" s="6" t="inlineStr">
        <is>
          <t>Unit</t>
        </is>
      </c>
      <c r="G20" s="11" t="inlineStr">
        <is>
          <t>Qty</t>
        </is>
      </c>
      <c r="H20" s="6" t="inlineStr">
        <is>
          <t>Unit</t>
        </is>
      </c>
      <c r="I20" s="10" t="inlineStr">
        <is>
          <t>Rate per unit</t>
        </is>
      </c>
      <c r="J20" s="12" t="inlineStr">
        <is>
          <t>Amount</t>
        </is>
      </c>
    </row>
    <row r="21" ht="25.5" customHeight="1">
      <c r="A21" s="8" t="n"/>
      <c r="B21" s="18" t="inlineStr">
        <is>
          <t>ELEC-1.7.1.m</t>
        </is>
      </c>
      <c r="C21" s="6" t="n">
        <v>1</v>
      </c>
      <c r="D21" s="9" t="inlineStr">
        <is>
          <t xml:space="preserve">Supply of 3 Plate Jumbo Ceiling Rose.Makes : GM G Home / Gold Medal Olive / Million Zoom / Anchor Penta Cherry / Great white Omega / HPL / Vimal / CPL. </t>
        </is>
      </c>
      <c r="E21" s="14" t="n">
        <v>1</v>
      </c>
      <c r="F21" s="14" t="inlineStr">
        <is>
          <t>each</t>
        </is>
      </c>
      <c r="G21" s="14" t="n">
        <v>1</v>
      </c>
      <c r="H21" s="14" t="inlineStr">
        <is>
          <t>each</t>
        </is>
      </c>
      <c r="I21" s="14" t="n">
        <v>25</v>
      </c>
      <c r="J21" s="12">
        <f>I21*E21</f>
        <v/>
      </c>
    </row>
    <row r="22">
      <c r="A22" s="6" t="n"/>
      <c r="B22" s="6" t="n"/>
      <c r="C22" s="6" t="n"/>
      <c r="D22" s="9" t="inlineStr">
        <is>
          <t>Cost of materials per each</t>
        </is>
      </c>
      <c r="E22" s="10" t="n"/>
      <c r="F22" s="6" t="n"/>
      <c r="G22" s="6" t="n"/>
      <c r="H22" s="6" t="n"/>
      <c r="I22" s="10" t="n"/>
      <c r="J22" s="10">
        <f>J21</f>
        <v/>
      </c>
    </row>
    <row r="23">
      <c r="A23" s="6" t="n"/>
      <c r="B23" s="5" t="n"/>
      <c r="C23" s="6" t="n"/>
      <c r="D23" s="16" t="inlineStr">
        <is>
          <t>Add OH@10.615%</t>
        </is>
      </c>
      <c r="E23" s="17" t="n"/>
      <c r="F23" s="5" t="n"/>
      <c r="G23" s="5" t="n"/>
      <c r="H23" s="5" t="n"/>
      <c r="I23" s="17" t="n"/>
      <c r="J23" s="17">
        <f>J22*10.615%</f>
        <v/>
      </c>
    </row>
    <row r="24">
      <c r="A24" s="6" t="n"/>
      <c r="B24" s="5" t="n"/>
      <c r="C24" s="6" t="n"/>
      <c r="D24" s="16" t="inlineStr">
        <is>
          <t>Total</t>
        </is>
      </c>
      <c r="E24" s="17" t="n"/>
      <c r="F24" s="5" t="n"/>
      <c r="G24" s="5" t="n"/>
      <c r="H24" s="5" t="n"/>
      <c r="I24" s="17" t="n"/>
      <c r="J24" s="17">
        <f>J22+J23</f>
        <v/>
      </c>
    </row>
    <row r="25">
      <c r="A25" s="19" t="n"/>
      <c r="B25" s="20" t="n"/>
      <c r="C25" s="19" t="n"/>
      <c r="D25" s="19" t="n"/>
      <c r="E25" s="19" t="n"/>
      <c r="F25" s="19" t="n"/>
      <c r="G25" s="19" t="n"/>
      <c r="H25" s="19" t="n"/>
      <c r="I25" s="19" t="inlineStr">
        <is>
          <t>Or Say</t>
        </is>
      </c>
      <c r="J25" s="21">
        <f>ROUND(J24,0)</f>
        <v/>
      </c>
    </row>
    <row r="26">
      <c r="A26" s="1" t="n"/>
      <c r="B26" s="1" t="n"/>
      <c r="C26" s="1" t="n"/>
      <c r="D26" s="2" t="inlineStr">
        <is>
          <t>PVC / Cotton Insulation tape Role</t>
        </is>
      </c>
      <c r="E26" s="1" t="n"/>
      <c r="F26" s="1" t="n"/>
      <c r="G26" s="1" t="n"/>
      <c r="H26" s="1" t="n"/>
      <c r="I26" s="1" t="n"/>
      <c r="J26" s="1" t="n"/>
    </row>
    <row r="27">
      <c r="A27" s="3" t="n"/>
      <c r="B27" s="3" t="n"/>
      <c r="C27" s="3" t="n"/>
      <c r="D27" s="4" t="inlineStr">
        <is>
          <t xml:space="preserve">Data </t>
        </is>
      </c>
      <c r="E27" s="3" t="n"/>
      <c r="F27" s="3" t="n"/>
      <c r="G27" s="3" t="n"/>
      <c r="H27" s="3" t="n"/>
      <c r="I27" s="3" t="n"/>
      <c r="J27" s="3" t="n"/>
    </row>
    <row r="28">
      <c r="A28" s="5" t="n"/>
      <c r="B28" s="6" t="n"/>
      <c r="C28" s="5" t="n"/>
      <c r="D28" s="7" t="inlineStr">
        <is>
          <t xml:space="preserve">Supply of PVC / Cotton Insulation tape Role ( 10 Mtrs) </t>
        </is>
      </c>
      <c r="E28" s="7" t="n"/>
      <c r="F28" s="7" t="n"/>
      <c r="G28" s="7" t="n"/>
      <c r="H28" s="7" t="n"/>
      <c r="I28" s="7" t="n"/>
      <c r="J28" s="7" t="n"/>
    </row>
    <row r="29" ht="25.5" customHeight="1">
      <c r="A29" s="8" t="n"/>
      <c r="B29" s="6" t="inlineStr">
        <is>
          <t>SOR 2025-26</t>
        </is>
      </c>
      <c r="C29" s="6" t="n"/>
      <c r="D29" s="9" t="inlineStr">
        <is>
          <t>a) Material</t>
        </is>
      </c>
      <c r="E29" s="10" t="inlineStr">
        <is>
          <t>Qty</t>
        </is>
      </c>
      <c r="F29" s="6" t="inlineStr">
        <is>
          <t>Unit</t>
        </is>
      </c>
      <c r="G29" s="11" t="inlineStr">
        <is>
          <t>Qty</t>
        </is>
      </c>
      <c r="H29" s="6" t="inlineStr">
        <is>
          <t>Unit</t>
        </is>
      </c>
      <c r="I29" s="10" t="inlineStr">
        <is>
          <t>Rate per unit</t>
        </is>
      </c>
      <c r="J29" s="12" t="inlineStr">
        <is>
          <t>Amount</t>
        </is>
      </c>
    </row>
    <row r="30">
      <c r="A30" s="8" t="n"/>
      <c r="B30" s="18" t="inlineStr">
        <is>
          <t>ELEC-10.1.15</t>
        </is>
      </c>
      <c r="C30" s="6" t="n">
        <v>1</v>
      </c>
      <c r="D30" s="9" t="inlineStr">
        <is>
          <t xml:space="preserve">PVC / Cotton Insulation tape Role ( 10 Mtrs) </t>
        </is>
      </c>
      <c r="E30" s="14" t="n">
        <v>1</v>
      </c>
      <c r="F30" s="14" t="inlineStr">
        <is>
          <t>each</t>
        </is>
      </c>
      <c r="G30" s="14" t="n">
        <v>1</v>
      </c>
      <c r="H30" s="14" t="inlineStr">
        <is>
          <t>each</t>
        </is>
      </c>
      <c r="I30" s="14" t="n">
        <v>26</v>
      </c>
      <c r="J30" s="12">
        <f>I30*E30</f>
        <v/>
      </c>
    </row>
    <row r="31">
      <c r="A31" s="6" t="n"/>
      <c r="B31" s="6" t="n"/>
      <c r="C31" s="6" t="n"/>
      <c r="D31" s="9" t="inlineStr">
        <is>
          <t>Cost of materials per each</t>
        </is>
      </c>
      <c r="E31" s="10" t="n"/>
      <c r="F31" s="6" t="n"/>
      <c r="G31" s="6" t="n"/>
      <c r="H31" s="6" t="n"/>
      <c r="I31" s="10" t="n"/>
      <c r="J31" s="10">
        <f>J30</f>
        <v/>
      </c>
    </row>
    <row r="32">
      <c r="A32" s="6" t="n"/>
      <c r="B32" s="5" t="n"/>
      <c r="C32" s="6" t="n"/>
      <c r="D32" s="16" t="inlineStr">
        <is>
          <t>Add OH@10.615%</t>
        </is>
      </c>
      <c r="E32" s="17" t="n"/>
      <c r="F32" s="5" t="n"/>
      <c r="G32" s="5" t="n"/>
      <c r="H32" s="5" t="n"/>
      <c r="I32" s="17" t="n"/>
      <c r="J32" s="17">
        <f>J31*10.615%</f>
        <v/>
      </c>
    </row>
    <row r="33">
      <c r="A33" s="6" t="n"/>
      <c r="B33" s="5" t="n"/>
      <c r="C33" s="6" t="n"/>
      <c r="D33" s="16" t="inlineStr">
        <is>
          <t>Total</t>
        </is>
      </c>
      <c r="E33" s="17" t="n"/>
      <c r="F33" s="5" t="n"/>
      <c r="G33" s="5" t="n"/>
      <c r="H33" s="5" t="n"/>
      <c r="I33" s="17" t="n"/>
      <c r="J33" s="17">
        <f>J31+J32</f>
        <v/>
      </c>
    </row>
    <row r="34">
      <c r="A34" s="19" t="n"/>
      <c r="B34" s="20" t="n"/>
      <c r="C34" s="19" t="n"/>
      <c r="D34" s="19" t="n"/>
      <c r="E34" s="19" t="n"/>
      <c r="F34" s="19" t="n"/>
      <c r="G34" s="19" t="n"/>
      <c r="H34" s="19" t="n"/>
      <c r="I34" s="19" t="inlineStr">
        <is>
          <t>Or Say</t>
        </is>
      </c>
      <c r="J34" s="21">
        <f>ROUND(J33,0)</f>
        <v/>
      </c>
    </row>
    <row r="35">
      <c r="A35" s="1" t="n"/>
      <c r="B35" s="1" t="n"/>
      <c r="C35" s="1" t="n"/>
      <c r="D35" s="2" t="inlineStr">
        <is>
          <t xml:space="preserve"> Capacitor for fans</t>
        </is>
      </c>
      <c r="E35" s="1" t="n"/>
      <c r="F35" s="1" t="n"/>
      <c r="G35" s="1" t="n"/>
      <c r="H35" s="1" t="n"/>
      <c r="I35" s="1" t="n"/>
      <c r="J35" s="1" t="n"/>
    </row>
    <row r="36">
      <c r="A36" s="3" t="n"/>
      <c r="B36" s="3" t="n"/>
      <c r="C36" s="3" t="n"/>
      <c r="D36" s="4" t="inlineStr">
        <is>
          <t xml:space="preserve">Data </t>
        </is>
      </c>
      <c r="E36" s="3" t="n"/>
      <c r="F36" s="3" t="n"/>
      <c r="G36" s="3" t="n"/>
      <c r="H36" s="3" t="n"/>
      <c r="I36" s="3" t="n"/>
      <c r="J36" s="3" t="n"/>
    </row>
    <row r="37" ht="25.5" customHeight="1">
      <c r="A37" s="5" t="n"/>
      <c r="B37" s="6" t="n"/>
      <c r="C37" s="5" t="n"/>
      <c r="D37" s="7" t="inlineStr">
        <is>
          <t xml:space="preserve">Replacement of u/s with new Supply of Capacitor for table / cabin / pedestal / ceiling / exhaust fan complete with alignment of shaft and tested. </t>
        </is>
      </c>
      <c r="E37" s="7" t="n"/>
      <c r="F37" s="7" t="n"/>
      <c r="G37" s="7" t="n"/>
      <c r="H37" s="7" t="n"/>
      <c r="I37" s="7" t="n"/>
      <c r="J37" s="7" t="n"/>
    </row>
    <row r="38" ht="25.5" customHeight="1">
      <c r="A38" s="8" t="n"/>
      <c r="B38" s="6" t="inlineStr">
        <is>
          <t>SOR 2025-26</t>
        </is>
      </c>
      <c r="C38" s="6" t="n"/>
      <c r="D38" s="9" t="inlineStr">
        <is>
          <t>a) Material</t>
        </is>
      </c>
      <c r="E38" s="10" t="inlineStr">
        <is>
          <t>Qty</t>
        </is>
      </c>
      <c r="F38" s="6" t="inlineStr">
        <is>
          <t>Unit</t>
        </is>
      </c>
      <c r="G38" s="11" t="inlineStr">
        <is>
          <t>Qty</t>
        </is>
      </c>
      <c r="H38" s="6" t="inlineStr">
        <is>
          <t>Unit</t>
        </is>
      </c>
      <c r="I38" s="10" t="inlineStr">
        <is>
          <t>Rate per unit</t>
        </is>
      </c>
      <c r="J38" s="12" t="inlineStr">
        <is>
          <t>Amount</t>
        </is>
      </c>
    </row>
    <row r="39" ht="25.5" customHeight="1">
      <c r="A39" s="8" t="n"/>
      <c r="B39" s="18" t="inlineStr">
        <is>
          <t>ELEC-5.14.10.c</t>
        </is>
      </c>
      <c r="C39" s="6" t="n">
        <v>1</v>
      </c>
      <c r="D39" s="9" t="inlineStr">
        <is>
          <t xml:space="preserve">Supply of Capacitor for table / cabin / pedestal / ceiling / exhaust fan complete with alignment of shaft and tested. </t>
        </is>
      </c>
      <c r="E39" s="14" t="n">
        <v>1</v>
      </c>
      <c r="F39" s="14" t="inlineStr">
        <is>
          <t>each</t>
        </is>
      </c>
      <c r="G39" s="14" t="n">
        <v>1</v>
      </c>
      <c r="H39" s="14" t="inlineStr">
        <is>
          <t>each</t>
        </is>
      </c>
      <c r="I39" s="14" t="n">
        <v>65</v>
      </c>
      <c r="J39" s="12">
        <f>I39*E39</f>
        <v/>
      </c>
    </row>
    <row r="40">
      <c r="A40" s="6" t="n"/>
      <c r="B40" s="6" t="n"/>
      <c r="C40" s="6" t="n"/>
      <c r="D40" s="9" t="inlineStr">
        <is>
          <t>Cost of materials per each</t>
        </is>
      </c>
      <c r="E40" s="10" t="n"/>
      <c r="F40" s="6" t="n"/>
      <c r="G40" s="6" t="n"/>
      <c r="H40" s="6" t="n"/>
      <c r="I40" s="10" t="n"/>
      <c r="J40" s="10">
        <f>J39</f>
        <v/>
      </c>
    </row>
    <row r="41">
      <c r="A41" s="6" t="n"/>
      <c r="B41" s="5" t="n"/>
      <c r="C41" s="6" t="n"/>
      <c r="D41" s="16" t="inlineStr">
        <is>
          <t>Add OH@10.615%</t>
        </is>
      </c>
      <c r="E41" s="17" t="n"/>
      <c r="F41" s="5" t="n"/>
      <c r="G41" s="5" t="n"/>
      <c r="H41" s="5" t="n"/>
      <c r="I41" s="17" t="n"/>
      <c r="J41" s="17">
        <f>10.615%*J40</f>
        <v/>
      </c>
    </row>
    <row r="42">
      <c r="A42" s="6" t="n"/>
      <c r="B42" s="5" t="n"/>
      <c r="C42" s="6" t="n"/>
      <c r="D42" s="16" t="inlineStr">
        <is>
          <t>Total</t>
        </is>
      </c>
      <c r="E42" s="17" t="n"/>
      <c r="F42" s="5" t="n"/>
      <c r="G42" s="5" t="n"/>
      <c r="H42" s="5" t="n"/>
      <c r="I42" s="17" t="n"/>
      <c r="J42" s="17">
        <f>J40+J41</f>
        <v/>
      </c>
    </row>
    <row r="43">
      <c r="A43" s="19" t="n"/>
      <c r="B43" s="20" t="n"/>
      <c r="C43" s="19" t="n"/>
      <c r="D43" s="19" t="n"/>
      <c r="E43" s="19" t="n"/>
      <c r="F43" s="19" t="n"/>
      <c r="G43" s="19" t="n"/>
      <c r="H43" s="19" t="n"/>
      <c r="I43" s="19" t="inlineStr">
        <is>
          <t>Or Say</t>
        </is>
      </c>
      <c r="J43" s="21">
        <f>ROUND(J42,0)</f>
        <v/>
      </c>
    </row>
    <row r="44">
      <c r="A44" s="1" t="n"/>
      <c r="B44" s="1" t="n"/>
      <c r="C44" s="1" t="n"/>
      <c r="D44" s="2" t="inlineStr">
        <is>
          <t>BH / SBH</t>
        </is>
      </c>
      <c r="E44" s="1" t="n"/>
      <c r="F44" s="1" t="n"/>
      <c r="G44" s="1" t="n"/>
      <c r="H44" s="1" t="n"/>
      <c r="I44" s="1" t="n"/>
      <c r="J44" s="1" t="n"/>
    </row>
    <row r="45">
      <c r="A45" s="3" t="n"/>
      <c r="B45" s="3" t="n"/>
      <c r="C45" s="3" t="n"/>
      <c r="D45" s="4" t="inlineStr">
        <is>
          <t xml:space="preserve">Data </t>
        </is>
      </c>
      <c r="E45" s="3" t="n"/>
      <c r="F45" s="3" t="n"/>
      <c r="G45" s="3" t="n"/>
      <c r="H45" s="3" t="n"/>
      <c r="I45" s="3" t="n"/>
      <c r="J45" s="3" t="n"/>
    </row>
    <row r="46" ht="38.25" customHeight="1">
      <c r="A46" s="5" t="n"/>
      <c r="B46" s="6" t="n"/>
      <c r="C46" s="5" t="n"/>
      <c r="D46" s="7" t="inlineStr">
        <is>
          <t xml:space="preserve">Replacement of u/s with new Supply of BH / SBH. Makes : GM G Home / Gold Medal Olive / Million Zoom / Anchor Penta Cherry / Great white Omega / HPL / Vimal / CPL. </t>
        </is>
      </c>
      <c r="E46" s="7" t="n"/>
      <c r="F46" s="7" t="n"/>
      <c r="G46" s="7" t="n"/>
      <c r="H46" s="7" t="n"/>
      <c r="I46" s="7" t="n"/>
      <c r="J46" s="7" t="n"/>
    </row>
    <row r="47" ht="25.5" customHeight="1">
      <c r="A47" s="8" t="n"/>
      <c r="B47" s="6" t="inlineStr">
        <is>
          <t>SOR 2025-26</t>
        </is>
      </c>
      <c r="C47" s="6" t="n"/>
      <c r="D47" s="9" t="inlineStr">
        <is>
          <t>a) Material</t>
        </is>
      </c>
      <c r="E47" s="10" t="inlineStr">
        <is>
          <t>Qty</t>
        </is>
      </c>
      <c r="F47" s="6" t="inlineStr">
        <is>
          <t>Unit</t>
        </is>
      </c>
      <c r="G47" s="11" t="inlineStr">
        <is>
          <t>Qty</t>
        </is>
      </c>
      <c r="H47" s="6" t="inlineStr">
        <is>
          <t>Unit</t>
        </is>
      </c>
      <c r="I47" s="10" t="inlineStr">
        <is>
          <t>Rate per unit</t>
        </is>
      </c>
      <c r="J47" s="12" t="inlineStr">
        <is>
          <t>Amount</t>
        </is>
      </c>
    </row>
    <row r="48" ht="25.5" customHeight="1">
      <c r="A48" s="8" t="n"/>
      <c r="B48" s="18" t="inlineStr">
        <is>
          <t>ELEC-1.7.1 n</t>
        </is>
      </c>
      <c r="C48" s="6" t="n">
        <v>1</v>
      </c>
      <c r="D48" s="9" t="inlineStr">
        <is>
          <t xml:space="preserve">Supply of BH / SBH. Makes : GM G Home / Gold Medal Olive / Million Zoom / Anchor Penta Cherry / Great white Omega / HPL / Vimal / CPL. </t>
        </is>
      </c>
      <c r="E48" s="14" t="n">
        <v>1</v>
      </c>
      <c r="F48" s="14" t="inlineStr">
        <is>
          <t>each</t>
        </is>
      </c>
      <c r="G48" s="14" t="n">
        <v>1</v>
      </c>
      <c r="H48" s="14" t="inlineStr">
        <is>
          <t>each</t>
        </is>
      </c>
      <c r="I48" s="14" t="n">
        <v>25</v>
      </c>
      <c r="J48" s="12">
        <f>I48*E48</f>
        <v/>
      </c>
    </row>
    <row r="49">
      <c r="A49" s="6" t="n"/>
      <c r="B49" s="6" t="n"/>
      <c r="C49" s="6" t="n"/>
      <c r="D49" s="9" t="inlineStr">
        <is>
          <t>Cost of materials per each</t>
        </is>
      </c>
      <c r="E49" s="10" t="n"/>
      <c r="F49" s="6" t="n"/>
      <c r="G49" s="6" t="n"/>
      <c r="H49" s="6" t="n"/>
      <c r="I49" s="10" t="n"/>
      <c r="J49" s="10">
        <f>J48</f>
        <v/>
      </c>
    </row>
    <row r="50">
      <c r="A50" s="6" t="n"/>
      <c r="B50" s="5" t="n"/>
      <c r="C50" s="6" t="n"/>
      <c r="D50" s="16" t="inlineStr">
        <is>
          <t>Add OH@10.615%</t>
        </is>
      </c>
      <c r="E50" s="17" t="n"/>
      <c r="F50" s="5" t="n"/>
      <c r="G50" s="5" t="n"/>
      <c r="H50" s="5" t="n"/>
      <c r="I50" s="17" t="n"/>
      <c r="J50" s="17">
        <f>10.615%*J49</f>
        <v/>
      </c>
    </row>
    <row r="51">
      <c r="A51" s="6" t="n"/>
      <c r="B51" s="5" t="n"/>
      <c r="C51" s="6" t="n"/>
      <c r="D51" s="16" t="inlineStr">
        <is>
          <t>Total</t>
        </is>
      </c>
      <c r="E51" s="17" t="n"/>
      <c r="F51" s="5" t="n"/>
      <c r="G51" s="5" t="n"/>
      <c r="H51" s="5" t="n"/>
      <c r="I51" s="17" t="n"/>
      <c r="J51" s="17">
        <f>J49+J50</f>
        <v/>
      </c>
    </row>
    <row r="52">
      <c r="A52" s="19" t="n"/>
      <c r="B52" s="20" t="n"/>
      <c r="C52" s="19" t="n"/>
      <c r="D52" s="19" t="n"/>
      <c r="E52" s="19" t="n"/>
      <c r="F52" s="19" t="n"/>
      <c r="G52" s="19" t="n"/>
      <c r="H52" s="19" t="n"/>
      <c r="I52" s="19" t="inlineStr">
        <is>
          <t>Or Say</t>
        </is>
      </c>
      <c r="J52" s="21">
        <f>ROUND(J51,0)</f>
        <v/>
      </c>
    </row>
    <row r="53">
      <c r="A53" s="1" t="n"/>
      <c r="B53" s="1" t="n"/>
      <c r="C53" s="1" t="n"/>
      <c r="D53" s="2" t="inlineStr">
        <is>
          <t>Pendent Holder</t>
        </is>
      </c>
      <c r="E53" s="1" t="n"/>
      <c r="F53" s="1" t="n"/>
      <c r="G53" s="1" t="n"/>
      <c r="H53" s="1" t="n"/>
      <c r="I53" s="1" t="n"/>
      <c r="J53" s="1" t="n"/>
    </row>
    <row r="54">
      <c r="A54" s="3" t="n"/>
      <c r="B54" s="3" t="n"/>
      <c r="C54" s="3" t="n"/>
      <c r="D54" s="4" t="inlineStr">
        <is>
          <t xml:space="preserve">Data </t>
        </is>
      </c>
      <c r="E54" s="3" t="n"/>
      <c r="F54" s="3" t="n"/>
      <c r="G54" s="3" t="n"/>
      <c r="H54" s="3" t="n"/>
      <c r="I54" s="3" t="n"/>
      <c r="J54" s="3" t="n"/>
    </row>
    <row r="55" ht="38.25" customHeight="1">
      <c r="A55" s="5" t="n"/>
      <c r="B55" s="6" t="n"/>
      <c r="C55" s="5" t="n"/>
      <c r="D55" s="7" t="inlineStr">
        <is>
          <t xml:space="preserve">Replacement of u/s with new Supply of Pendent Holder / Adopter. . Makes : GM G Home / Gold Medal Olive / Million Zoom / Anchor Penta Cherry / Great white Omega / HPL / Vimal / CPL. </t>
        </is>
      </c>
      <c r="E55" s="7" t="n"/>
      <c r="F55" s="7" t="n"/>
      <c r="G55" s="7" t="n"/>
      <c r="H55" s="7" t="n"/>
      <c r="I55" s="7" t="n"/>
      <c r="J55" s="7" t="n"/>
    </row>
    <row r="56" ht="25.5" customHeight="1">
      <c r="A56" s="8" t="n"/>
      <c r="B56" s="6" t="inlineStr">
        <is>
          <t>SOR 2025-26</t>
        </is>
      </c>
      <c r="C56" s="6" t="n"/>
      <c r="D56" s="9" t="inlineStr">
        <is>
          <t>a) Material</t>
        </is>
      </c>
      <c r="E56" s="10" t="inlineStr">
        <is>
          <t>Qty</t>
        </is>
      </c>
      <c r="F56" s="6" t="inlineStr">
        <is>
          <t>Unit</t>
        </is>
      </c>
      <c r="G56" s="11" t="inlineStr">
        <is>
          <t>Qty</t>
        </is>
      </c>
      <c r="H56" s="6" t="inlineStr">
        <is>
          <t>Unit</t>
        </is>
      </c>
      <c r="I56" s="10" t="inlineStr">
        <is>
          <t>Rate per unit</t>
        </is>
      </c>
      <c r="J56" s="12" t="inlineStr">
        <is>
          <t>Amount</t>
        </is>
      </c>
    </row>
    <row r="57" ht="25.5" customHeight="1">
      <c r="A57" s="8" t="n"/>
      <c r="B57" s="18" t="inlineStr">
        <is>
          <t>ELEC-1.7.1 o</t>
        </is>
      </c>
      <c r="C57" s="6" t="n">
        <v>1</v>
      </c>
      <c r="D57" s="9" t="inlineStr">
        <is>
          <t xml:space="preserve">Supply of Pendent Holder / Adopter. . Makes : GM G Home / Gold Medal Olive / Million Zoom / Anchor Penta Cherry / Great white Omega / HPL / Vimal / CPL. </t>
        </is>
      </c>
      <c r="E57" s="14" t="n">
        <v>1</v>
      </c>
      <c r="F57" s="14" t="inlineStr">
        <is>
          <t>each</t>
        </is>
      </c>
      <c r="G57" s="14" t="n">
        <v>1</v>
      </c>
      <c r="H57" s="14" t="inlineStr">
        <is>
          <t>each</t>
        </is>
      </c>
      <c r="I57" s="14" t="n">
        <v>25</v>
      </c>
      <c r="J57" s="12">
        <f>I57*E57</f>
        <v/>
      </c>
    </row>
    <row r="58">
      <c r="A58" s="6" t="n"/>
      <c r="B58" s="6" t="n"/>
      <c r="C58" s="6" t="n"/>
      <c r="D58" s="9" t="inlineStr">
        <is>
          <t>Cost of materials per each</t>
        </is>
      </c>
      <c r="E58" s="10" t="n"/>
      <c r="F58" s="6" t="n"/>
      <c r="G58" s="6" t="n"/>
      <c r="H58" s="6" t="n"/>
      <c r="I58" s="10" t="n"/>
      <c r="J58" s="10">
        <f>J57</f>
        <v/>
      </c>
    </row>
    <row r="59">
      <c r="A59" s="6" t="n"/>
      <c r="B59" s="5" t="n"/>
      <c r="C59" s="6" t="n"/>
      <c r="D59" s="16" t="inlineStr">
        <is>
          <t>Add OH@10.615%</t>
        </is>
      </c>
      <c r="E59" s="17" t="n"/>
      <c r="F59" s="5" t="n"/>
      <c r="G59" s="5" t="n"/>
      <c r="H59" s="5" t="n"/>
      <c r="I59" s="17" t="n"/>
      <c r="J59" s="17">
        <f>10.615%*J58</f>
        <v/>
      </c>
    </row>
    <row r="60">
      <c r="A60" s="6" t="n"/>
      <c r="B60" s="5" t="n"/>
      <c r="C60" s="6" t="n"/>
      <c r="D60" s="16" t="inlineStr">
        <is>
          <t>Total</t>
        </is>
      </c>
      <c r="E60" s="17" t="n"/>
      <c r="F60" s="5" t="n"/>
      <c r="G60" s="5" t="n"/>
      <c r="H60" s="5" t="n"/>
      <c r="I60" s="17" t="n"/>
      <c r="J60" s="17">
        <f>J58+J59</f>
        <v/>
      </c>
    </row>
    <row r="61">
      <c r="A61" s="19" t="n"/>
      <c r="B61" s="20" t="n"/>
      <c r="C61" s="19" t="n"/>
      <c r="D61" s="19" t="n"/>
      <c r="E61" s="19" t="n"/>
      <c r="F61" s="19" t="n"/>
      <c r="G61" s="19" t="n"/>
      <c r="H61" s="19" t="n"/>
      <c r="I61" s="19" t="inlineStr">
        <is>
          <t>Or Say</t>
        </is>
      </c>
      <c r="J61" s="21">
        <f>ROUND(J60,0)</f>
        <v/>
      </c>
    </row>
    <row r="62">
      <c r="A62" s="1" t="n"/>
      <c r="B62" s="1" t="n"/>
      <c r="C62" s="1" t="n"/>
      <c r="D62" s="2" t="inlineStr">
        <is>
          <t xml:space="preserve"> Ding Dong Bell</t>
        </is>
      </c>
      <c r="E62" s="1" t="n"/>
      <c r="F62" s="1" t="n"/>
      <c r="G62" s="1" t="n"/>
      <c r="H62" s="1" t="n"/>
      <c r="I62" s="1" t="n"/>
      <c r="J62" s="1" t="n"/>
    </row>
    <row r="63">
      <c r="A63" s="3" t="n"/>
      <c r="B63" s="3" t="n"/>
      <c r="C63" s="3" t="n"/>
      <c r="D63" s="4" t="inlineStr">
        <is>
          <t xml:space="preserve">Data </t>
        </is>
      </c>
      <c r="E63" s="3" t="n"/>
      <c r="F63" s="3" t="n"/>
      <c r="G63" s="3" t="n"/>
      <c r="H63" s="3" t="n"/>
      <c r="I63" s="3" t="n"/>
      <c r="J63" s="3" t="n"/>
    </row>
    <row r="64" ht="25.5" customHeight="1">
      <c r="A64" s="5" t="n"/>
      <c r="B64" s="6" t="n"/>
      <c r="C64" s="5" t="n"/>
      <c r="D64" s="7" t="inlineStr">
        <is>
          <t xml:space="preserve">Replacement of u/s with new Supply of Ding Dong Bell. . Makes : GM / Million / Gold Medal / Anchor / Great white. </t>
        </is>
      </c>
      <c r="E64" s="7" t="n"/>
      <c r="F64" s="7" t="n"/>
      <c r="G64" s="7" t="n"/>
      <c r="H64" s="7" t="n"/>
      <c r="I64" s="7" t="n"/>
      <c r="J64" s="7" t="n"/>
    </row>
    <row r="65" ht="25.5" customHeight="1">
      <c r="A65" s="8" t="n"/>
      <c r="B65" s="6" t="inlineStr">
        <is>
          <t>SOR 2025-26</t>
        </is>
      </c>
      <c r="C65" s="6" t="n"/>
      <c r="D65" s="9" t="inlineStr">
        <is>
          <t>a) Material</t>
        </is>
      </c>
      <c r="E65" s="10" t="inlineStr">
        <is>
          <t>Qty</t>
        </is>
      </c>
      <c r="F65" s="6" t="inlineStr">
        <is>
          <t>Unit</t>
        </is>
      </c>
      <c r="G65" s="11" t="inlineStr">
        <is>
          <t>Qty</t>
        </is>
      </c>
      <c r="H65" s="6" t="inlineStr">
        <is>
          <t>Unit</t>
        </is>
      </c>
      <c r="I65" s="10" t="inlineStr">
        <is>
          <t>Rate per unit</t>
        </is>
      </c>
      <c r="J65" s="12" t="inlineStr">
        <is>
          <t>Amount</t>
        </is>
      </c>
    </row>
    <row r="66" ht="25.5" customHeight="1">
      <c r="A66" s="8" t="n"/>
      <c r="B66" s="18" t="inlineStr">
        <is>
          <t>ELEC-1.7.2 b</t>
        </is>
      </c>
      <c r="C66" s="6" t="n">
        <v>1</v>
      </c>
      <c r="D66" s="9" t="inlineStr">
        <is>
          <t xml:space="preserve">Supply of Ding Dong Bell. . Makes : GM / Million / Gold Medal / Anchor / Great white. </t>
        </is>
      </c>
      <c r="E66" s="14" t="n">
        <v>1</v>
      </c>
      <c r="F66" s="14" t="inlineStr">
        <is>
          <t>each</t>
        </is>
      </c>
      <c r="G66" s="14" t="n">
        <v>1</v>
      </c>
      <c r="H66" s="14" t="inlineStr">
        <is>
          <t>each</t>
        </is>
      </c>
      <c r="I66" s="14" t="n">
        <v>125</v>
      </c>
      <c r="J66" s="12">
        <f>I66*E66</f>
        <v/>
      </c>
    </row>
    <row r="67">
      <c r="A67" s="6" t="n"/>
      <c r="B67" s="6" t="n"/>
      <c r="C67" s="6" t="n"/>
      <c r="D67" s="9" t="inlineStr">
        <is>
          <t>Cost of materials per each</t>
        </is>
      </c>
      <c r="E67" s="10" t="n"/>
      <c r="F67" s="6" t="n"/>
      <c r="G67" s="6" t="n"/>
      <c r="H67" s="6" t="n"/>
      <c r="I67" s="10" t="n"/>
      <c r="J67" s="10">
        <f>J66</f>
        <v/>
      </c>
    </row>
    <row r="68">
      <c r="A68" s="6" t="n"/>
      <c r="B68" s="5" t="n"/>
      <c r="C68" s="6" t="n"/>
      <c r="D68" s="16" t="inlineStr">
        <is>
          <t>Add OH@10.615%</t>
        </is>
      </c>
      <c r="E68" s="17" t="n"/>
      <c r="F68" s="5" t="n"/>
      <c r="G68" s="5" t="n"/>
      <c r="H68" s="5" t="n"/>
      <c r="I68" s="17" t="n"/>
      <c r="J68" s="17">
        <f>10.615%*J67</f>
        <v/>
      </c>
    </row>
    <row r="69">
      <c r="A69" s="6" t="n"/>
      <c r="B69" s="5" t="n"/>
      <c r="C69" s="6" t="n"/>
      <c r="D69" s="16" t="inlineStr">
        <is>
          <t>Total</t>
        </is>
      </c>
      <c r="E69" s="17" t="n"/>
      <c r="F69" s="5" t="n"/>
      <c r="G69" s="5" t="n"/>
      <c r="H69" s="5" t="n"/>
      <c r="I69" s="17" t="n"/>
      <c r="J69" s="17">
        <f>J67+J68</f>
        <v/>
      </c>
    </row>
    <row r="70">
      <c r="A70" s="19" t="n"/>
      <c r="B70" s="20" t="n"/>
      <c r="C70" s="19" t="n"/>
      <c r="D70" s="19" t="n"/>
      <c r="E70" s="19" t="n"/>
      <c r="F70" s="19" t="n"/>
      <c r="G70" s="19" t="n"/>
      <c r="H70" s="19" t="n"/>
      <c r="I70" s="19" t="inlineStr">
        <is>
          <t>Or Say</t>
        </is>
      </c>
      <c r="J70" s="21">
        <f>ROUND(J69,0)</f>
        <v/>
      </c>
    </row>
    <row r="71">
      <c r="A71" s="1" t="n"/>
      <c r="B71" s="1" t="n"/>
      <c r="C71" s="1" t="n"/>
      <c r="D71" s="2" t="inlineStr">
        <is>
          <t>Buzzer</t>
        </is>
      </c>
      <c r="E71" s="1" t="n"/>
      <c r="F71" s="1" t="n"/>
      <c r="G71" s="1" t="n"/>
      <c r="H71" s="1" t="n"/>
      <c r="I71" s="1" t="n"/>
      <c r="J71" s="1" t="n"/>
    </row>
    <row r="72">
      <c r="A72" s="3" t="n"/>
      <c r="B72" s="3" t="n"/>
      <c r="C72" s="3" t="n"/>
      <c r="D72" s="4" t="inlineStr">
        <is>
          <t xml:space="preserve">Data </t>
        </is>
      </c>
      <c r="E72" s="3" t="n"/>
      <c r="F72" s="3" t="n"/>
      <c r="G72" s="3" t="n"/>
      <c r="H72" s="3" t="n"/>
      <c r="I72" s="3" t="n"/>
      <c r="J72" s="3" t="n"/>
    </row>
    <row r="73" ht="25.5" customHeight="1">
      <c r="A73" s="5" t="n"/>
      <c r="B73" s="6" t="n"/>
      <c r="C73" s="5" t="n"/>
      <c r="D73" s="7" t="inlineStr">
        <is>
          <t xml:space="preserve">Replacement of u/s with new Supply of Buzzer. . Makes : GM / Million / Gold Medal / Anchor / Great white. </t>
        </is>
      </c>
      <c r="E73" s="7" t="n"/>
      <c r="F73" s="7" t="n"/>
      <c r="G73" s="7" t="n"/>
      <c r="H73" s="7" t="n"/>
      <c r="I73" s="7" t="n"/>
      <c r="J73" s="7" t="n"/>
    </row>
    <row r="74" ht="25.5" customHeight="1">
      <c r="A74" s="8" t="n"/>
      <c r="B74" s="6" t="inlineStr">
        <is>
          <t>SOR 2025-26</t>
        </is>
      </c>
      <c r="C74" s="6" t="n"/>
      <c r="D74" s="9" t="inlineStr">
        <is>
          <t>a) Material</t>
        </is>
      </c>
      <c r="E74" s="10" t="inlineStr">
        <is>
          <t>Qty</t>
        </is>
      </c>
      <c r="F74" s="6" t="inlineStr">
        <is>
          <t>Unit</t>
        </is>
      </c>
      <c r="G74" s="11" t="inlineStr">
        <is>
          <t>Qty</t>
        </is>
      </c>
      <c r="H74" s="6" t="inlineStr">
        <is>
          <t>Unit</t>
        </is>
      </c>
      <c r="I74" s="10" t="inlineStr">
        <is>
          <t>Rate per unit</t>
        </is>
      </c>
      <c r="J74" s="12" t="inlineStr">
        <is>
          <t>Amount</t>
        </is>
      </c>
    </row>
    <row r="75">
      <c r="A75" s="8" t="n"/>
      <c r="B75" s="18" t="inlineStr">
        <is>
          <t>ELEC-1.7.2 a</t>
        </is>
      </c>
      <c r="C75" s="6" t="n">
        <v>1</v>
      </c>
      <c r="D75" s="9" t="inlineStr">
        <is>
          <t xml:space="preserve">Supply of Buzzer. . Makes : GM / Million / Gold Medal / Anchor / Great white. </t>
        </is>
      </c>
      <c r="E75" s="14" t="n">
        <v>1</v>
      </c>
      <c r="F75" s="14" t="inlineStr">
        <is>
          <t>each</t>
        </is>
      </c>
      <c r="G75" s="14" t="n">
        <v>1</v>
      </c>
      <c r="H75" s="14" t="inlineStr">
        <is>
          <t>each</t>
        </is>
      </c>
      <c r="I75" s="14" t="n">
        <v>60</v>
      </c>
      <c r="J75" s="12">
        <f>I75*E75</f>
        <v/>
      </c>
    </row>
    <row r="76">
      <c r="A76" s="6" t="n"/>
      <c r="B76" s="6" t="n"/>
      <c r="C76" s="6" t="n"/>
      <c r="D76" s="9" t="inlineStr">
        <is>
          <t>Cost of materials per each</t>
        </is>
      </c>
      <c r="E76" s="10" t="n"/>
      <c r="F76" s="6" t="n"/>
      <c r="G76" s="6" t="n"/>
      <c r="H76" s="6" t="n"/>
      <c r="I76" s="10" t="n"/>
      <c r="J76" s="10">
        <f>J75</f>
        <v/>
      </c>
    </row>
    <row r="77">
      <c r="A77" s="6" t="n"/>
      <c r="B77" s="5" t="n"/>
      <c r="C77" s="6" t="n"/>
      <c r="D77" s="16" t="inlineStr">
        <is>
          <t>Add OH@10.615%</t>
        </is>
      </c>
      <c r="E77" s="17" t="n"/>
      <c r="F77" s="5" t="n"/>
      <c r="G77" s="5" t="n"/>
      <c r="H77" s="5" t="n"/>
      <c r="I77" s="17" t="n"/>
      <c r="J77" s="17">
        <f>10.615%*J76</f>
        <v/>
      </c>
    </row>
    <row r="78">
      <c r="A78" s="6" t="n"/>
      <c r="B78" s="5" t="n"/>
      <c r="C78" s="6" t="n"/>
      <c r="D78" s="16" t="inlineStr">
        <is>
          <t>Total</t>
        </is>
      </c>
      <c r="E78" s="17" t="n"/>
      <c r="F78" s="5" t="n"/>
      <c r="G78" s="5" t="n"/>
      <c r="H78" s="5" t="n"/>
      <c r="I78" s="17" t="n"/>
      <c r="J78" s="17">
        <f>J76+J77</f>
        <v/>
      </c>
    </row>
    <row r="79">
      <c r="A79" s="19" t="n"/>
      <c r="B79" s="20" t="n"/>
      <c r="C79" s="19" t="n"/>
      <c r="D79" s="19" t="n"/>
      <c r="E79" s="19" t="n"/>
      <c r="F79" s="19" t="n"/>
      <c r="G79" s="19" t="n"/>
      <c r="H79" s="19" t="n"/>
      <c r="I79" s="19" t="inlineStr">
        <is>
          <t>Or Say</t>
        </is>
      </c>
      <c r="J79" s="21">
        <f>ROUND(J78,0)</f>
        <v/>
      </c>
    </row>
    <row r="80">
      <c r="A80" s="1" t="n"/>
      <c r="B80" s="1" t="n"/>
      <c r="C80" s="1" t="n"/>
      <c r="D80" s="2" t="inlineStr">
        <is>
          <t xml:space="preserve"> 6sqmm WPTC Aluminium wire</t>
        </is>
      </c>
      <c r="E80" s="1" t="n"/>
      <c r="F80" s="1" t="n"/>
      <c r="G80" s="1" t="n"/>
      <c r="H80" s="1" t="n"/>
      <c r="I80" s="1" t="n"/>
      <c r="J80" s="1" t="n"/>
    </row>
    <row r="81">
      <c r="A81" s="3" t="n"/>
      <c r="B81" s="3" t="n"/>
      <c r="C81" s="3" t="n"/>
      <c r="D81" s="4" t="inlineStr">
        <is>
          <t xml:space="preserve">Data </t>
        </is>
      </c>
      <c r="E81" s="3" t="n"/>
      <c r="F81" s="3" t="n"/>
      <c r="G81" s="3" t="n"/>
      <c r="H81" s="3" t="n"/>
      <c r="I81" s="3" t="n"/>
      <c r="J81" s="3" t="n"/>
    </row>
    <row r="82" ht="51" customHeight="1">
      <c r="A82" s="5" t="n"/>
      <c r="B82" s="6" t="n"/>
      <c r="C82" s="5" t="n"/>
      <c r="D82" s="7" t="inlineStr">
        <is>
          <t xml:space="preserve">Rewiring with new Supply of 6sqmm WPTC (Weather  Proof Twin Core) ISI mark Alluminium  Wire. Makes : Polycab / GM / Million / V-Guard / Gold Medal 
</t>
        </is>
      </c>
      <c r="E82" s="7" t="n"/>
      <c r="F82" s="7" t="n"/>
      <c r="G82" s="7" t="n"/>
      <c r="H82" s="7" t="n"/>
      <c r="I82" s="7" t="n"/>
      <c r="J82" s="7" t="n"/>
    </row>
    <row r="83" ht="25.5" customHeight="1">
      <c r="A83" s="8" t="n"/>
      <c r="B83" s="6" t="inlineStr">
        <is>
          <t>SOR 2025-26</t>
        </is>
      </c>
      <c r="C83" s="6" t="n"/>
      <c r="D83" s="9" t="inlineStr">
        <is>
          <t>a) Material</t>
        </is>
      </c>
      <c r="E83" s="10" t="inlineStr">
        <is>
          <t>Qty</t>
        </is>
      </c>
      <c r="F83" s="6" t="inlineStr">
        <is>
          <t>Unit</t>
        </is>
      </c>
      <c r="G83" s="11" t="inlineStr">
        <is>
          <t>Qty</t>
        </is>
      </c>
      <c r="H83" s="6" t="inlineStr">
        <is>
          <t>Unit</t>
        </is>
      </c>
      <c r="I83" s="10" t="inlineStr">
        <is>
          <t>Rate per unit</t>
        </is>
      </c>
      <c r="J83" s="12" t="inlineStr">
        <is>
          <t>Amount</t>
        </is>
      </c>
    </row>
    <row r="84" ht="51" customHeight="1">
      <c r="A84" s="8" t="n"/>
      <c r="B84" s="18" t="inlineStr">
        <is>
          <t>ELEC-1.6.2a</t>
        </is>
      </c>
      <c r="C84" s="6" t="n">
        <v>1</v>
      </c>
      <c r="D84" s="9" t="inlineStr">
        <is>
          <t xml:space="preserve">Supply of 6sqmm WPTC (Weather  Proof Twin Core) ISI mark Alluminium  Wire. Makes : Polycab / GM / Million / V-Guard / Gold Medal / Kundancab / HPL / RPG / Nandicab / Nakoda / Payal / Finecab / Gemini / Vimal / Suncab / Stanjo 
</t>
        </is>
      </c>
      <c r="E84" s="14" t="n">
        <v>1</v>
      </c>
      <c r="F84" s="14" t="inlineStr">
        <is>
          <t>Mtr</t>
        </is>
      </c>
      <c r="G84" s="14" t="n">
        <v>1</v>
      </c>
      <c r="H84" s="14" t="inlineStr">
        <is>
          <t>Mtr</t>
        </is>
      </c>
      <c r="I84" s="14" t="n">
        <v>41.16</v>
      </c>
      <c r="J84" s="12">
        <f>I84*E84</f>
        <v/>
      </c>
    </row>
    <row r="85">
      <c r="A85" s="6" t="n"/>
      <c r="B85" s="6" t="n"/>
      <c r="C85" s="6" t="n"/>
      <c r="D85" s="9" t="inlineStr">
        <is>
          <t>Cost of materials per each</t>
        </is>
      </c>
      <c r="E85" s="10" t="n"/>
      <c r="F85" s="6" t="n"/>
      <c r="G85" s="6" t="n"/>
      <c r="H85" s="6" t="n"/>
      <c r="I85" s="10" t="n"/>
      <c r="J85" s="10">
        <f>J84</f>
        <v/>
      </c>
    </row>
    <row r="86">
      <c r="A86" s="6" t="n"/>
      <c r="B86" s="5" t="n"/>
      <c r="C86" s="6" t="n"/>
      <c r="D86" s="16" t="inlineStr">
        <is>
          <t>Add OH@10.615%</t>
        </is>
      </c>
      <c r="E86" s="17" t="n"/>
      <c r="F86" s="5" t="n"/>
      <c r="G86" s="5" t="n"/>
      <c r="H86" s="5" t="n"/>
      <c r="I86" s="17" t="n"/>
      <c r="J86" s="17">
        <f>10.615%*J85</f>
        <v/>
      </c>
    </row>
    <row r="87">
      <c r="A87" s="6" t="n"/>
      <c r="B87" s="5" t="n"/>
      <c r="C87" s="6" t="n"/>
      <c r="D87" s="16" t="inlineStr">
        <is>
          <t>Total</t>
        </is>
      </c>
      <c r="E87" s="17" t="n"/>
      <c r="F87" s="5" t="n"/>
      <c r="G87" s="5" t="n"/>
      <c r="H87" s="5" t="n"/>
      <c r="I87" s="17" t="n"/>
      <c r="J87" s="17">
        <f>J85+J86</f>
        <v/>
      </c>
    </row>
    <row r="88">
      <c r="A88" s="19" t="n"/>
      <c r="B88" s="20" t="n"/>
      <c r="C88" s="19" t="n"/>
      <c r="D88" s="19" t="n"/>
      <c r="E88" s="19" t="n"/>
      <c r="F88" s="19" t="n"/>
      <c r="G88" s="19" t="n"/>
      <c r="H88" s="19" t="n"/>
      <c r="I88" s="19" t="inlineStr">
        <is>
          <t>Or Say</t>
        </is>
      </c>
      <c r="J88" s="21">
        <f>ROUND(J87,0)</f>
        <v/>
      </c>
    </row>
    <row r="89">
      <c r="A89" s="1" t="n"/>
      <c r="B89" s="1" t="n"/>
      <c r="C89" s="1" t="n"/>
      <c r="D89" s="2" t="inlineStr">
        <is>
          <t>1.5 sq.mm FRLSH copper cable</t>
        </is>
      </c>
      <c r="E89" s="1" t="n"/>
      <c r="F89" s="1" t="n"/>
      <c r="G89" s="1" t="n"/>
      <c r="H89" s="1" t="n"/>
      <c r="I89" s="1" t="n"/>
      <c r="J89" s="1" t="n"/>
    </row>
    <row r="90">
      <c r="A90" s="3" t="n"/>
      <c r="B90" s="3" t="n"/>
      <c r="C90" s="3" t="n"/>
      <c r="D90" s="4" t="inlineStr">
        <is>
          <t xml:space="preserve">Data </t>
        </is>
      </c>
      <c r="E90" s="3" t="n"/>
      <c r="F90" s="3" t="n"/>
      <c r="G90" s="3" t="n"/>
      <c r="H90" s="3" t="n"/>
      <c r="I90" s="3" t="n"/>
      <c r="J90" s="3" t="n"/>
    </row>
    <row r="91" ht="140.25" customHeight="1">
      <c r="A91" s="5" t="n"/>
      <c r="B91" s="6" t="n"/>
      <c r="C91" s="5" t="n"/>
      <c r="D91" s="7" t="inlineStr">
        <is>
          <t xml:space="preserve">Rewiring  with new Supply of 1.5Sqmm  Class - II Conductor  HFFR  PVC insulated 1100V grade as per IS:694 /2010, IS 17048 specification for Copper cable. Makes : Finolex / RR kabel / Havells / Polycab/Beljin  / Finecab Gold   / GM  / Gold Medal  / Million / KEI /  VGuard ./ DEC                                                                                                                                 NOTE 2 (as per ELEC 1.5 section SOR 2025-26) : If FRLSH (FRLS) Wires are used instead of   HFFR during execution of work, for arrig  the  FRLSH  (FRLS)  Flexible  wires rates  15%  may  be  deducted  from  the finished    Cost  data  of  Light  /  Fan  / Separate   Plug   Points   and   Run   of mains.NOTE 3 : If Class - II conductor Wires   are   not      used   5%   may   be deducted from the finished   Cost data of  Light  /  Fan  /  Separate  Plug  Points and Run of mains.
</t>
        </is>
      </c>
      <c r="E91" s="7" t="n"/>
      <c r="F91" s="7" t="n"/>
      <c r="G91" s="7" t="n"/>
      <c r="H91" s="7" t="n"/>
      <c r="I91" s="7" t="n"/>
      <c r="J91" s="7" t="n"/>
    </row>
    <row r="92" ht="25.5" customHeight="1">
      <c r="A92" s="8" t="n"/>
      <c r="B92" s="6" t="inlineStr">
        <is>
          <t>SOR 2025-26</t>
        </is>
      </c>
      <c r="C92" s="6" t="n"/>
      <c r="D92" s="9" t="inlineStr">
        <is>
          <t>a) Material</t>
        </is>
      </c>
      <c r="E92" s="10" t="inlineStr">
        <is>
          <t>Qty</t>
        </is>
      </c>
      <c r="F92" s="6" t="inlineStr">
        <is>
          <t>Unit</t>
        </is>
      </c>
      <c r="G92" s="11" t="inlineStr">
        <is>
          <t>Qty</t>
        </is>
      </c>
      <c r="H92" s="6" t="inlineStr">
        <is>
          <t>Unit</t>
        </is>
      </c>
      <c r="I92" s="10" t="inlineStr">
        <is>
          <t>Rate per unit</t>
        </is>
      </c>
      <c r="J92" s="12" t="inlineStr">
        <is>
          <t>Amount</t>
        </is>
      </c>
    </row>
    <row r="93" ht="63.75" customHeight="1">
      <c r="A93" s="8" t="n"/>
      <c r="B93" s="18" t="inlineStr">
        <is>
          <t>ELEC-1.5.1 a</t>
        </is>
      </c>
      <c r="C93" s="6" t="n">
        <v>1</v>
      </c>
      <c r="D93" s="9" t="inlineStr">
        <is>
          <t xml:space="preserve">Supply of 1.5Sqmm  Class - II Conductor  HFFR  PVC insulated 1100V grade as per IS:694 /2010, IS 17048 specification for Copper cable. Makes : Finolex / RR kabel / Havells / Polycab/Beljin  / Finecab Gold   / GM  / Gold Medal  / Million / KEI /  VGuard ./ DEC  
</t>
        </is>
      </c>
      <c r="E93" s="14" t="n">
        <v>1</v>
      </c>
      <c r="F93" s="14" t="inlineStr">
        <is>
          <t>Mtr</t>
        </is>
      </c>
      <c r="G93" s="14" t="n">
        <v>1</v>
      </c>
      <c r="H93" s="14" t="inlineStr">
        <is>
          <t>Mtr</t>
        </is>
      </c>
      <c r="I93" s="14" t="n">
        <v>25.3</v>
      </c>
      <c r="J93" s="12">
        <f>I93*E93</f>
        <v/>
      </c>
    </row>
    <row r="94">
      <c r="A94" s="6" t="n"/>
      <c r="B94" s="6" t="n"/>
      <c r="C94" s="6" t="n"/>
      <c r="D94" s="9" t="inlineStr">
        <is>
          <t>Cost of materials per each</t>
        </is>
      </c>
      <c r="E94" s="10" t="n"/>
      <c r="F94" s="6" t="n"/>
      <c r="G94" s="6" t="n"/>
      <c r="H94" s="6" t="n"/>
      <c r="I94" s="10" t="n"/>
      <c r="J94" s="10">
        <f>J93</f>
        <v/>
      </c>
    </row>
    <row r="95">
      <c r="A95" s="6" t="n"/>
      <c r="B95" s="5" t="n"/>
      <c r="C95" s="6" t="n"/>
      <c r="D95" s="16" t="inlineStr">
        <is>
          <t>Add OH@10.615%</t>
        </is>
      </c>
      <c r="E95" s="17" t="n"/>
      <c r="F95" s="5" t="n"/>
      <c r="G95" s="5" t="n"/>
      <c r="H95" s="5" t="n"/>
      <c r="I95" s="17" t="n"/>
      <c r="J95" s="17">
        <f>10.615%*J94</f>
        <v/>
      </c>
    </row>
    <row r="96">
      <c r="A96" s="6" t="n"/>
      <c r="B96" s="5" t="n"/>
      <c r="C96" s="6" t="n"/>
      <c r="D96" s="16" t="inlineStr">
        <is>
          <t>Sub Total</t>
        </is>
      </c>
      <c r="E96" s="17" t="n"/>
      <c r="F96" s="5" t="n"/>
      <c r="G96" s="5" t="n"/>
      <c r="H96" s="5" t="n"/>
      <c r="I96" s="17" t="n"/>
      <c r="J96" s="17">
        <f>J94+J95</f>
        <v/>
      </c>
    </row>
    <row r="97" ht="25.5" customHeight="1">
      <c r="A97" s="6" t="n"/>
      <c r="B97" s="5" t="n"/>
      <c r="C97" s="6" t="n"/>
      <c r="D97" s="16" t="inlineStr">
        <is>
          <t>Total cost after Deduction of finished item cost for supply of FRLSH wires @ 20%</t>
        </is>
      </c>
      <c r="E97" s="17" t="n"/>
      <c r="F97" s="5" t="n"/>
      <c r="G97" s="5" t="n"/>
      <c r="H97" s="5" t="n"/>
      <c r="I97" s="17" t="n"/>
      <c r="J97" s="17">
        <f>0.8*J96</f>
        <v/>
      </c>
    </row>
    <row r="98">
      <c r="A98" s="19" t="n"/>
      <c r="B98" s="20" t="n"/>
      <c r="C98" s="19" t="n"/>
      <c r="D98" s="19" t="n"/>
      <c r="E98" s="19" t="n"/>
      <c r="F98" s="19" t="n"/>
      <c r="G98" s="19" t="n"/>
      <c r="H98" s="19" t="n"/>
      <c r="I98" s="19" t="inlineStr">
        <is>
          <t>Or Say</t>
        </is>
      </c>
      <c r="J98" s="21">
        <f>ROUND(J97,0)</f>
        <v/>
      </c>
    </row>
    <row r="99">
      <c r="A99" s="1" t="n"/>
      <c r="B99" s="1" t="n"/>
      <c r="C99" s="1" t="n"/>
      <c r="D99" s="2" t="inlineStr">
        <is>
          <t>2.5 sq.mm FRLSH copper cable</t>
        </is>
      </c>
      <c r="E99" s="1" t="n"/>
      <c r="F99" s="1" t="n"/>
      <c r="G99" s="1" t="n"/>
      <c r="H99" s="1" t="n"/>
      <c r="I99" s="1" t="n"/>
      <c r="J99" s="1" t="n"/>
    </row>
    <row r="100">
      <c r="A100" s="3" t="n"/>
      <c r="B100" s="3" t="n"/>
      <c r="C100" s="3" t="n"/>
      <c r="D100" s="4" t="inlineStr">
        <is>
          <t xml:space="preserve">Data </t>
        </is>
      </c>
      <c r="E100" s="3" t="n"/>
      <c r="F100" s="3" t="n"/>
      <c r="G100" s="3" t="n"/>
      <c r="H100" s="3" t="n"/>
      <c r="I100" s="3" t="n"/>
      <c r="J100" s="3" t="n"/>
    </row>
    <row r="101" ht="127.5" customHeight="1">
      <c r="A101" s="5" t="n"/>
      <c r="B101" s="6" t="n"/>
      <c r="C101" s="5" t="n"/>
      <c r="D101" s="7" t="inlineStr">
        <is>
          <t>Rewiring  with new Supply of 2.5Sqmm  Class - II Conductor  HFFR  PVC insulated 1100V grade as per IS:694 /2010, IS 17048 specification for Copper cable. Makes : Finolex / RR kabel / Havells / Polycab/Beljin  / Finecab Gold   / GM  / Gold Medal  / Million / KEI /  VGuard ./ DEC                                                                                                          NOTE 2 (as per ELEC 1.5 section SOR 2025-26) : If FRLSH (FRLS) Wires are used instead of   HFFR during execution of work, for arrig  the  FRLSH  (FRLS)  Flexible  wires rates  15%  may  be  deducted  from  the finished    Cost  data  of  Light  /  Fan  / Separate   Plug   Points   and   Run   of mains.NOTE 3 : If Class - II conductor Wires   are   not      used   5%   may   be deducted from the finished   Cost data of  Light  /  Fan  /  Separate  Plug  Points and Run of mains</t>
        </is>
      </c>
      <c r="E101" s="7" t="n"/>
      <c r="F101" s="7" t="n"/>
      <c r="G101" s="7" t="n"/>
      <c r="H101" s="7" t="n"/>
      <c r="I101" s="7" t="n"/>
      <c r="J101" s="7" t="n"/>
    </row>
    <row r="102" ht="25.5" customHeight="1">
      <c r="A102" s="8" t="n"/>
      <c r="B102" s="6" t="inlineStr">
        <is>
          <t>SOR 2025-26</t>
        </is>
      </c>
      <c r="C102" s="6" t="n"/>
      <c r="D102" s="9" t="inlineStr">
        <is>
          <t>a) Material</t>
        </is>
      </c>
      <c r="E102" s="10" t="inlineStr">
        <is>
          <t>Qty</t>
        </is>
      </c>
      <c r="F102" s="6" t="inlineStr">
        <is>
          <t>Unit</t>
        </is>
      </c>
      <c r="G102" s="11" t="inlineStr">
        <is>
          <t>Qty</t>
        </is>
      </c>
      <c r="H102" s="6" t="inlineStr">
        <is>
          <t>Unit</t>
        </is>
      </c>
      <c r="I102" s="10" t="inlineStr">
        <is>
          <t>Rate per unit</t>
        </is>
      </c>
      <c r="J102" s="12" t="inlineStr">
        <is>
          <t>Amount</t>
        </is>
      </c>
    </row>
    <row r="103" ht="51" customHeight="1">
      <c r="A103" s="8" t="n"/>
      <c r="B103" s="18" t="inlineStr">
        <is>
          <t>ELEC-1.5.1 b</t>
        </is>
      </c>
      <c r="C103" s="6" t="n">
        <v>1</v>
      </c>
      <c r="D103" s="9" t="inlineStr">
        <is>
          <t>Supply of 2.5Sqmm  Class - II Conductor  HFFR  PVC insulated 1100V grade as per IS:694 /2010, IS 17048 specification for Copper cable. Makes : Finolex / RR kabel / Havells / Polycab/Beljin  / Finecab Gold   / GM  / Gold Medal  / Million / KEI /  VGuard ./ DEC</t>
        </is>
      </c>
      <c r="E103" s="14" t="n">
        <v>1</v>
      </c>
      <c r="F103" s="14" t="inlineStr">
        <is>
          <t>Mtr</t>
        </is>
      </c>
      <c r="G103" s="14" t="n">
        <v>1</v>
      </c>
      <c r="H103" s="14" t="inlineStr">
        <is>
          <t>Mtr</t>
        </is>
      </c>
      <c r="I103" s="14" t="n">
        <v>40.95</v>
      </c>
      <c r="J103" s="12">
        <f>I103*E103</f>
        <v/>
      </c>
    </row>
    <row r="104">
      <c r="A104" s="6" t="n"/>
      <c r="B104" s="6" t="n"/>
      <c r="C104" s="6" t="n"/>
      <c r="D104" s="9" t="inlineStr">
        <is>
          <t>Cost of materials per each</t>
        </is>
      </c>
      <c r="E104" s="10" t="n"/>
      <c r="F104" s="6" t="n"/>
      <c r="G104" s="6" t="n"/>
      <c r="H104" s="6" t="n"/>
      <c r="I104" s="10" t="n"/>
      <c r="J104" s="10">
        <f>J103</f>
        <v/>
      </c>
    </row>
    <row r="105">
      <c r="A105" s="6" t="n"/>
      <c r="B105" s="5" t="n"/>
      <c r="C105" s="6" t="n"/>
      <c r="D105" s="16" t="inlineStr">
        <is>
          <t>Add OH@10.615%</t>
        </is>
      </c>
      <c r="E105" s="17" t="n"/>
      <c r="F105" s="5" t="n"/>
      <c r="G105" s="5" t="n"/>
      <c r="H105" s="5" t="n"/>
      <c r="I105" s="17" t="n"/>
      <c r="J105" s="17">
        <f>10.615%*J104</f>
        <v/>
      </c>
    </row>
    <row r="106">
      <c r="A106" s="6" t="n"/>
      <c r="B106" s="5" t="n"/>
      <c r="C106" s="6" t="n"/>
      <c r="D106" s="16" t="inlineStr">
        <is>
          <t>Sub Total</t>
        </is>
      </c>
      <c r="E106" s="17" t="n"/>
      <c r="F106" s="5" t="n"/>
      <c r="G106" s="5" t="n"/>
      <c r="H106" s="5" t="n"/>
      <c r="I106" s="17" t="n"/>
      <c r="J106" s="17">
        <f>J104+J105</f>
        <v/>
      </c>
    </row>
    <row r="107" ht="25.5" customHeight="1">
      <c r="A107" s="6" t="n"/>
      <c r="B107" s="5" t="n"/>
      <c r="C107" s="6" t="n"/>
      <c r="D107" s="16" t="inlineStr">
        <is>
          <t>Total cost after Deduction of finished item cost for supply of FRLSH wires @ 20%</t>
        </is>
      </c>
      <c r="E107" s="17" t="n"/>
      <c r="F107" s="5" t="n"/>
      <c r="G107" s="5" t="n"/>
      <c r="H107" s="5" t="n"/>
      <c r="I107" s="17" t="n"/>
      <c r="J107" s="17">
        <f>0.8*J106</f>
        <v/>
      </c>
    </row>
    <row r="108">
      <c r="A108" s="19" t="n"/>
      <c r="B108" s="20" t="n"/>
      <c r="C108" s="19" t="n"/>
      <c r="D108" s="19" t="n"/>
      <c r="E108" s="19" t="n"/>
      <c r="F108" s="19" t="n"/>
      <c r="G108" s="19" t="n"/>
      <c r="H108" s="19" t="n"/>
      <c r="I108" s="19" t="inlineStr">
        <is>
          <t>Or Say</t>
        </is>
      </c>
      <c r="J108" s="21">
        <f>ROUND(J107,0)</f>
        <v/>
      </c>
    </row>
    <row r="109">
      <c r="A109" s="1" t="n"/>
      <c r="B109" s="1" t="n"/>
      <c r="C109" s="1" t="n"/>
      <c r="D109" s="2" t="inlineStr">
        <is>
          <t>4.0 sq.mm FRLSH copper cable</t>
        </is>
      </c>
      <c r="E109" s="1" t="n"/>
      <c r="F109" s="1" t="n"/>
      <c r="G109" s="1" t="n"/>
      <c r="H109" s="1" t="n"/>
      <c r="I109" s="1" t="n"/>
      <c r="J109" s="1" t="n"/>
    </row>
    <row r="110">
      <c r="A110" s="3" t="n"/>
      <c r="B110" s="3" t="n"/>
      <c r="C110" s="3" t="n"/>
      <c r="D110" s="4" t="inlineStr">
        <is>
          <t xml:space="preserve">Data </t>
        </is>
      </c>
      <c r="E110" s="3" t="n"/>
      <c r="F110" s="3" t="n"/>
      <c r="G110" s="3" t="n"/>
      <c r="H110" s="3" t="n"/>
      <c r="I110" s="3" t="n"/>
      <c r="J110" s="3" t="n"/>
    </row>
    <row r="111" ht="51" customHeight="1">
      <c r="A111" s="5" t="n"/>
      <c r="B111" s="6" t="n"/>
      <c r="C111" s="5" t="n"/>
      <c r="D111" s="7" t="inlineStr">
        <is>
          <t>Rewiring with new Supply of  4.00 Sqmm   HFFR  PVC insulated 1100V grade as per IS:694 /2010, IS 17048 specification for Copper cable. Makes : Finolex / RR kabel / Havells / Polycab/Beljin  / Finecab Gold   / GM  / Gold Medal  / Million / KEI /  VGuard ./ DEC</t>
        </is>
      </c>
      <c r="E111" s="7" t="n"/>
      <c r="F111" s="7" t="n"/>
      <c r="G111" s="7" t="n"/>
      <c r="H111" s="7" t="n"/>
      <c r="I111" s="7" t="n"/>
      <c r="J111" s="7" t="n"/>
    </row>
    <row r="112" ht="25.5" customHeight="1">
      <c r="A112" s="8" t="n"/>
      <c r="B112" s="6" t="inlineStr">
        <is>
          <t>SOR 2025-26</t>
        </is>
      </c>
      <c r="C112" s="6" t="n"/>
      <c r="D112" s="9" t="inlineStr">
        <is>
          <t>a) Material</t>
        </is>
      </c>
      <c r="E112" s="10" t="inlineStr">
        <is>
          <t>Qty</t>
        </is>
      </c>
      <c r="F112" s="6" t="inlineStr">
        <is>
          <t>Unit</t>
        </is>
      </c>
      <c r="G112" s="11" t="inlineStr">
        <is>
          <t>Qty</t>
        </is>
      </c>
      <c r="H112" s="6" t="inlineStr">
        <is>
          <t>Unit</t>
        </is>
      </c>
      <c r="I112" s="10" t="inlineStr">
        <is>
          <t>Rate per unit</t>
        </is>
      </c>
      <c r="J112" s="12" t="inlineStr">
        <is>
          <t>Amount</t>
        </is>
      </c>
    </row>
    <row r="113" ht="51" customHeight="1">
      <c r="A113" s="8" t="n"/>
      <c r="B113" s="18" t="inlineStr">
        <is>
          <t>ELEC-1.5.1 c</t>
        </is>
      </c>
      <c r="C113" s="6" t="n">
        <v>1</v>
      </c>
      <c r="D113" s="9" t="inlineStr">
        <is>
          <t xml:space="preserve"> Supply of  4.00 Sqmm   HFFR  PVC insulated 1100V grade as per IS:694 /2010, IS 17048 specification for Copper cable. Makes : Finolex / RR kabel / Havells / Polycab/Beljin  / Finecab Gold   / GM  / Gold Medal  / Million / KEI /  VGuard ./ DEC</t>
        </is>
      </c>
      <c r="E113" s="14" t="n">
        <v>1</v>
      </c>
      <c r="F113" s="14" t="inlineStr">
        <is>
          <t>each</t>
        </is>
      </c>
      <c r="G113" s="14" t="n">
        <v>1</v>
      </c>
      <c r="H113" s="14" t="inlineStr">
        <is>
          <t>each</t>
        </is>
      </c>
      <c r="I113" s="14" t="n">
        <v>62.5</v>
      </c>
      <c r="J113" s="12">
        <f>I113*E113</f>
        <v/>
      </c>
    </row>
    <row r="114">
      <c r="A114" s="6" t="n"/>
      <c r="B114" s="6" t="n"/>
      <c r="C114" s="6" t="n"/>
      <c r="D114" s="9" t="inlineStr">
        <is>
          <t>Cost of materials per each</t>
        </is>
      </c>
      <c r="E114" s="10" t="n"/>
      <c r="F114" s="6" t="n"/>
      <c r="G114" s="6" t="n"/>
      <c r="H114" s="6" t="n"/>
      <c r="I114" s="10" t="n"/>
      <c r="J114" s="10">
        <f>J113</f>
        <v/>
      </c>
    </row>
    <row r="115">
      <c r="A115" s="6" t="n"/>
      <c r="B115" s="5" t="n"/>
      <c r="C115" s="6" t="n"/>
      <c r="D115" s="16" t="inlineStr">
        <is>
          <t>Add OH@10.615%</t>
        </is>
      </c>
      <c r="E115" s="17" t="n"/>
      <c r="F115" s="5" t="n"/>
      <c r="G115" s="5" t="n"/>
      <c r="H115" s="5" t="n"/>
      <c r="I115" s="17" t="n"/>
      <c r="J115" s="17">
        <f>10.615%*J114</f>
        <v/>
      </c>
    </row>
    <row r="116">
      <c r="A116" s="6" t="n"/>
      <c r="B116" s="5" t="n"/>
      <c r="C116" s="6" t="n"/>
      <c r="D116" s="16" t="inlineStr">
        <is>
          <t>Sub Total</t>
        </is>
      </c>
      <c r="E116" s="17" t="n"/>
      <c r="F116" s="5" t="n"/>
      <c r="G116" s="5" t="n"/>
      <c r="H116" s="5" t="n"/>
      <c r="I116" s="17" t="n"/>
      <c r="J116" s="17">
        <f>J114+J115</f>
        <v/>
      </c>
    </row>
    <row r="117" ht="25.5" customHeight="1">
      <c r="A117" s="6" t="n"/>
      <c r="B117" s="5" t="n"/>
      <c r="C117" s="6" t="n"/>
      <c r="D117" s="16" t="inlineStr">
        <is>
          <t>Total cost after Deduction of finished item cost for supply of FRLSH wires @ 20%</t>
        </is>
      </c>
      <c r="E117" s="17" t="n"/>
      <c r="F117" s="5" t="n"/>
      <c r="G117" s="5" t="n"/>
      <c r="H117" s="5" t="n"/>
      <c r="I117" s="17" t="n"/>
      <c r="J117" s="17">
        <f>0.85*J116</f>
        <v/>
      </c>
    </row>
    <row r="118">
      <c r="A118" s="19" t="n"/>
      <c r="B118" s="20" t="n"/>
      <c r="C118" s="19" t="n"/>
      <c r="D118" s="19" t="n"/>
      <c r="E118" s="19" t="n"/>
      <c r="F118" s="19" t="n"/>
      <c r="G118" s="19" t="n"/>
      <c r="H118" s="19" t="n"/>
      <c r="I118" s="19" t="inlineStr">
        <is>
          <t>Or Say</t>
        </is>
      </c>
      <c r="J118" s="21">
        <f>ROUND(J117,0)</f>
        <v/>
      </c>
    </row>
    <row r="119">
      <c r="A119" s="1" t="n"/>
      <c r="B119" s="1" t="n"/>
      <c r="C119" s="1" t="n"/>
      <c r="D119" s="2" t="inlineStr">
        <is>
          <t>6.0 sq.mm FRLSH copper cable</t>
        </is>
      </c>
      <c r="E119" s="1" t="n"/>
      <c r="F119" s="1" t="n"/>
      <c r="G119" s="1" t="n"/>
      <c r="H119" s="1" t="n"/>
      <c r="I119" s="1" t="n"/>
      <c r="J119" s="1" t="n"/>
    </row>
    <row r="120">
      <c r="A120" s="3" t="n"/>
      <c r="B120" s="3" t="n"/>
      <c r="C120" s="3" t="n"/>
      <c r="D120" s="4" t="inlineStr">
        <is>
          <t xml:space="preserve">Data </t>
        </is>
      </c>
      <c r="E120" s="3" t="n"/>
      <c r="F120" s="3" t="n"/>
      <c r="G120" s="3" t="n"/>
      <c r="H120" s="3" t="n"/>
      <c r="I120" s="3" t="n"/>
      <c r="J120" s="3" t="n"/>
    </row>
    <row r="121" ht="51" customHeight="1">
      <c r="A121" s="5" t="n"/>
      <c r="B121" s="6" t="n"/>
      <c r="C121" s="5" t="n"/>
      <c r="D121" s="7" t="inlineStr">
        <is>
          <t>Rewiring with new  Supply of  6.00 Sqmm   HFFR  PVC insulated 1100V grade as per IS:694 /2010, IS 17048 specification for Copper cable. Makes : Finolex / RR kabel / Havells / Polycab/Beljin  / Finecab Gold   / GM  / Gold Medal  / Million / KEI /  VGuard ./ DEC</t>
        </is>
      </c>
      <c r="E121" s="7" t="n"/>
      <c r="F121" s="7" t="n"/>
      <c r="G121" s="7" t="n"/>
      <c r="H121" s="7" t="n"/>
      <c r="I121" s="7" t="n"/>
      <c r="J121" s="7" t="n"/>
    </row>
    <row r="122" ht="25.5" customHeight="1">
      <c r="A122" s="8" t="n"/>
      <c r="B122" s="6" t="inlineStr">
        <is>
          <t>SOR 2025-26</t>
        </is>
      </c>
      <c r="C122" s="6" t="n"/>
      <c r="D122" s="9" t="inlineStr">
        <is>
          <t>a) Material</t>
        </is>
      </c>
      <c r="E122" s="10" t="inlineStr">
        <is>
          <t>Qty</t>
        </is>
      </c>
      <c r="F122" s="6" t="inlineStr">
        <is>
          <t>Unit</t>
        </is>
      </c>
      <c r="G122" s="11" t="inlineStr">
        <is>
          <t>Qty</t>
        </is>
      </c>
      <c r="H122" s="6" t="inlineStr">
        <is>
          <t>Unit</t>
        </is>
      </c>
      <c r="I122" s="10" t="inlineStr">
        <is>
          <t>Rate per unit</t>
        </is>
      </c>
      <c r="J122" s="12" t="inlineStr">
        <is>
          <t>Amount</t>
        </is>
      </c>
    </row>
    <row r="123" ht="51" customHeight="1">
      <c r="A123" s="8" t="n"/>
      <c r="B123" s="18" t="inlineStr">
        <is>
          <t>ELEC-1.5.1 d</t>
        </is>
      </c>
      <c r="C123" s="6" t="n">
        <v>1</v>
      </c>
      <c r="D123" s="9" t="inlineStr">
        <is>
          <t xml:space="preserve"> Supply of  6.00 Sqmm   HFFR  PVC insulated 1100V grade as per IS:694 /2010, IS 17048 specification for Copper cable. Makes : Finolex / RR kabel / Havells / Polycab/Beljin  / Finecab Gold   / GM  / Gold Medal  / Million / KEI /  VGuard ./ DEC</t>
        </is>
      </c>
      <c r="E123" s="14" t="n">
        <v>1</v>
      </c>
      <c r="F123" s="14" t="inlineStr">
        <is>
          <t>each</t>
        </is>
      </c>
      <c r="G123" s="14" t="n">
        <v>1</v>
      </c>
      <c r="H123" s="14" t="inlineStr">
        <is>
          <t>each</t>
        </is>
      </c>
      <c r="I123" s="14" t="n">
        <v>92.3</v>
      </c>
      <c r="J123" s="12">
        <f>I123*E123</f>
        <v/>
      </c>
    </row>
    <row r="124">
      <c r="A124" s="6" t="n"/>
      <c r="B124" s="6" t="n"/>
      <c r="C124" s="6" t="n"/>
      <c r="D124" s="9" t="inlineStr">
        <is>
          <t>Cost of materials per each</t>
        </is>
      </c>
      <c r="E124" s="10" t="n"/>
      <c r="F124" s="6" t="n"/>
      <c r="G124" s="6" t="n"/>
      <c r="H124" s="6" t="n"/>
      <c r="I124" s="10" t="n"/>
      <c r="J124" s="10">
        <f>J123</f>
        <v/>
      </c>
    </row>
    <row r="125">
      <c r="A125" s="6" t="n"/>
      <c r="B125" s="5" t="n"/>
      <c r="C125" s="6" t="n"/>
      <c r="D125" s="16" t="inlineStr">
        <is>
          <t>Add OH@10.615%</t>
        </is>
      </c>
      <c r="E125" s="17" t="n"/>
      <c r="F125" s="5" t="n"/>
      <c r="G125" s="5" t="n"/>
      <c r="H125" s="5" t="n"/>
      <c r="I125" s="17" t="n"/>
      <c r="J125" s="17">
        <f>10.615%*J124</f>
        <v/>
      </c>
    </row>
    <row r="126">
      <c r="A126" s="6" t="n"/>
      <c r="B126" s="5" t="n"/>
      <c r="C126" s="6" t="n"/>
      <c r="D126" s="16" t="inlineStr">
        <is>
          <t>Sub Total</t>
        </is>
      </c>
      <c r="E126" s="17" t="n"/>
      <c r="F126" s="5" t="n"/>
      <c r="G126" s="5" t="n"/>
      <c r="H126" s="5" t="n"/>
      <c r="I126" s="17" t="n"/>
      <c r="J126" s="17">
        <f>J124+J125</f>
        <v/>
      </c>
    </row>
    <row r="127" ht="25.5" customHeight="1">
      <c r="A127" s="6" t="n"/>
      <c r="B127" s="5" t="n"/>
      <c r="C127" s="6" t="n"/>
      <c r="D127" s="16" t="inlineStr">
        <is>
          <t>Total cost after Deduction of finished item cost for supply of FRLSH wires @ 20%</t>
        </is>
      </c>
      <c r="E127" s="17" t="n"/>
      <c r="F127" s="5" t="n"/>
      <c r="G127" s="5" t="n"/>
      <c r="H127" s="5" t="n"/>
      <c r="I127" s="17" t="n"/>
      <c r="J127" s="17">
        <f>0.85*J126</f>
        <v/>
      </c>
    </row>
    <row r="128">
      <c r="A128" s="19" t="n"/>
      <c r="B128" s="20" t="n"/>
      <c r="C128" s="19" t="n"/>
      <c r="D128" s="19" t="n"/>
      <c r="E128" s="19" t="n"/>
      <c r="F128" s="19" t="n"/>
      <c r="G128" s="19" t="n"/>
      <c r="H128" s="19" t="n"/>
      <c r="I128" s="19" t="inlineStr">
        <is>
          <t>Or Say</t>
        </is>
      </c>
      <c r="J128" s="21">
        <f>ROUND(J127,0)</f>
        <v/>
      </c>
    </row>
    <row r="129">
      <c r="A129" s="1" t="n"/>
      <c r="B129" s="1" t="n"/>
      <c r="C129" s="1" t="n"/>
      <c r="D129" s="2" t="inlineStr">
        <is>
          <t xml:space="preserve"> 6-32A SP MCB</t>
        </is>
      </c>
      <c r="E129" s="1" t="n"/>
      <c r="F129" s="1" t="n"/>
      <c r="G129" s="1" t="n"/>
      <c r="H129" s="1" t="n"/>
      <c r="I129" s="1" t="n"/>
      <c r="J129" s="1" t="n"/>
    </row>
    <row r="130">
      <c r="A130" s="3" t="n"/>
      <c r="B130" s="3" t="n"/>
      <c r="C130" s="3" t="n"/>
      <c r="D130" s="4" t="inlineStr">
        <is>
          <t xml:space="preserve">Data </t>
        </is>
      </c>
      <c r="E130" s="3" t="n"/>
      <c r="F130" s="3" t="n"/>
      <c r="G130" s="3" t="n"/>
      <c r="H130" s="3" t="n"/>
      <c r="I130" s="3" t="n"/>
      <c r="J130" s="3" t="n"/>
    </row>
    <row r="131" ht="25.5" customHeight="1">
      <c r="A131" s="5" t="n"/>
      <c r="B131" s="6" t="n"/>
      <c r="C131" s="5" t="n"/>
      <c r="D131" s="7" t="inlineStr">
        <is>
          <t xml:space="preserve">Replacement of u/s with new Supply of  6-32A SP MCB 10 kA, C/D Curve ISI Mark. Makes : Legrand-DX3 / Schneider-Acti9 / Siemens / LK Exora </t>
        </is>
      </c>
      <c r="E131" s="7" t="n"/>
      <c r="F131" s="7" t="n"/>
      <c r="G131" s="7" t="n"/>
      <c r="H131" s="7" t="n"/>
      <c r="I131" s="7" t="n"/>
      <c r="J131" s="7" t="n"/>
    </row>
    <row r="132" ht="25.5" customHeight="1">
      <c r="A132" s="8" t="n"/>
      <c r="B132" s="6" t="inlineStr">
        <is>
          <t>SOR 2025-26</t>
        </is>
      </c>
      <c r="C132" s="6" t="n"/>
      <c r="D132" s="9" t="inlineStr">
        <is>
          <t>a) Material</t>
        </is>
      </c>
      <c r="E132" s="10" t="inlineStr">
        <is>
          <t>Qty</t>
        </is>
      </c>
      <c r="F132" s="6" t="inlineStr">
        <is>
          <t>Unit</t>
        </is>
      </c>
      <c r="G132" s="11" t="inlineStr">
        <is>
          <t>Qty</t>
        </is>
      </c>
      <c r="H132" s="6" t="inlineStr">
        <is>
          <t>Unit</t>
        </is>
      </c>
      <c r="I132" s="10" t="inlineStr">
        <is>
          <t>Rate per unit</t>
        </is>
      </c>
      <c r="J132" s="12" t="inlineStr">
        <is>
          <t>Amount</t>
        </is>
      </c>
    </row>
    <row r="133" ht="25.5" customHeight="1">
      <c r="A133" s="8" t="n"/>
      <c r="B133" s="18" t="inlineStr">
        <is>
          <t>ELEC-2.14.1 a</t>
        </is>
      </c>
      <c r="C133" s="6" t="n">
        <v>1</v>
      </c>
      <c r="D133" s="9" t="inlineStr">
        <is>
          <t>Supply of  6-32A SP MCB 10 kA, C/D Curve ISI Mark. Makes : Legrand-DX3 / Schneider-Acti9 / Siemens / LK  Exora</t>
        </is>
      </c>
      <c r="E133" s="14" t="n">
        <v>1</v>
      </c>
      <c r="F133" s="14" t="inlineStr">
        <is>
          <t>each</t>
        </is>
      </c>
      <c r="G133" s="14" t="n">
        <v>1</v>
      </c>
      <c r="H133" s="14" t="inlineStr">
        <is>
          <t>each</t>
        </is>
      </c>
      <c r="I133" s="14" t="n">
        <v>340</v>
      </c>
      <c r="J133" s="12">
        <f>I133*E133</f>
        <v/>
      </c>
    </row>
    <row r="134">
      <c r="A134" s="6" t="n"/>
      <c r="B134" s="6" t="n"/>
      <c r="C134" s="6" t="n"/>
      <c r="D134" s="9" t="inlineStr">
        <is>
          <t>Cost of materials per each</t>
        </is>
      </c>
      <c r="E134" s="10" t="n"/>
      <c r="F134" s="6" t="n"/>
      <c r="G134" s="6" t="n"/>
      <c r="H134" s="6" t="n"/>
      <c r="I134" s="10" t="n"/>
      <c r="J134" s="10">
        <f>J133</f>
        <v/>
      </c>
    </row>
    <row r="135">
      <c r="A135" s="6" t="n"/>
      <c r="B135" s="5" t="n"/>
      <c r="C135" s="6" t="n"/>
      <c r="D135" s="16" t="inlineStr">
        <is>
          <t>Add OH@10.615%</t>
        </is>
      </c>
      <c r="E135" s="17" t="n"/>
      <c r="F135" s="5" t="n"/>
      <c r="G135" s="5" t="n"/>
      <c r="H135" s="5" t="n"/>
      <c r="I135" s="17" t="n"/>
      <c r="J135" s="17">
        <f>10.615%*J134</f>
        <v/>
      </c>
    </row>
    <row r="136">
      <c r="A136" s="6" t="n"/>
      <c r="B136" s="5" t="n"/>
      <c r="C136" s="6" t="n"/>
      <c r="D136" s="16" t="inlineStr">
        <is>
          <t>Total</t>
        </is>
      </c>
      <c r="E136" s="17" t="n"/>
      <c r="F136" s="5" t="n"/>
      <c r="G136" s="5" t="n"/>
      <c r="H136" s="5" t="n"/>
      <c r="I136" s="17" t="n"/>
      <c r="J136" s="17">
        <f>J134+J135</f>
        <v/>
      </c>
    </row>
    <row r="137">
      <c r="A137" s="19" t="n"/>
      <c r="B137" s="20" t="n"/>
      <c r="C137" s="19" t="n"/>
      <c r="D137" s="19" t="n"/>
      <c r="E137" s="19" t="n"/>
      <c r="F137" s="19" t="n"/>
      <c r="G137" s="19" t="n"/>
      <c r="H137" s="19" t="n"/>
      <c r="I137" s="19" t="inlineStr">
        <is>
          <t>Or Say</t>
        </is>
      </c>
      <c r="J137" s="21">
        <f>ROUND(J136,0)</f>
        <v/>
      </c>
    </row>
    <row r="138">
      <c r="A138" s="1" t="n"/>
      <c r="B138" s="1" t="n"/>
      <c r="C138" s="1" t="n"/>
      <c r="D138" s="2" t="inlineStr">
        <is>
          <t>40A TP MCB</t>
        </is>
      </c>
      <c r="E138" s="1" t="n"/>
      <c r="F138" s="1" t="n"/>
      <c r="G138" s="1" t="n"/>
      <c r="H138" s="1" t="n"/>
      <c r="I138" s="1" t="n"/>
      <c r="J138" s="1" t="n"/>
    </row>
    <row r="139">
      <c r="A139" s="3" t="n"/>
      <c r="B139" s="3" t="n"/>
      <c r="C139" s="3" t="n"/>
      <c r="D139" s="4" t="inlineStr">
        <is>
          <t xml:space="preserve">Data </t>
        </is>
      </c>
      <c r="E139" s="3" t="n"/>
      <c r="F139" s="3" t="n"/>
      <c r="G139" s="3" t="n"/>
      <c r="H139" s="3" t="n"/>
      <c r="I139" s="3" t="n"/>
      <c r="J139" s="3" t="n"/>
    </row>
    <row r="140" ht="25.5" customHeight="1">
      <c r="A140" s="5" t="n"/>
      <c r="B140" s="6" t="n"/>
      <c r="C140" s="5" t="n"/>
      <c r="D140" s="7" t="inlineStr">
        <is>
          <t xml:space="preserve">Replacement of u/s with new Supply of  40A TP MCB10 kA, C/D Curve ISI Mark. Makes : Legrand-DX3 / Schneider-Acti9 / Siemens / LK Exora </t>
        </is>
      </c>
      <c r="E140" s="7" t="n"/>
      <c r="F140" s="7" t="n"/>
      <c r="G140" s="7" t="n"/>
      <c r="H140" s="7" t="n"/>
      <c r="I140" s="7" t="n"/>
      <c r="J140" s="7" t="n"/>
    </row>
    <row r="141" ht="25.5" customHeight="1">
      <c r="A141" s="8" t="n"/>
      <c r="B141" s="6" t="inlineStr">
        <is>
          <t>SOR 2025-26</t>
        </is>
      </c>
      <c r="C141" s="6" t="n"/>
      <c r="D141" s="9" t="inlineStr">
        <is>
          <t>a) Material</t>
        </is>
      </c>
      <c r="E141" s="10" t="inlineStr">
        <is>
          <t>Qty</t>
        </is>
      </c>
      <c r="F141" s="6" t="inlineStr">
        <is>
          <t>Unit</t>
        </is>
      </c>
      <c r="G141" s="11" t="inlineStr">
        <is>
          <t>Qty</t>
        </is>
      </c>
      <c r="H141" s="6" t="inlineStr">
        <is>
          <t>Unit</t>
        </is>
      </c>
      <c r="I141" s="10" t="inlineStr">
        <is>
          <t>Rate per unit</t>
        </is>
      </c>
      <c r="J141" s="12" t="inlineStr">
        <is>
          <t>Amount</t>
        </is>
      </c>
    </row>
    <row r="142" ht="25.5" customHeight="1">
      <c r="A142" s="8" t="n"/>
      <c r="B142" s="18" t="inlineStr">
        <is>
          <t>ELEC-2.14.1 h</t>
        </is>
      </c>
      <c r="C142" s="6" t="n">
        <v>1</v>
      </c>
      <c r="D142" s="9" t="inlineStr">
        <is>
          <t>Supply of  40A TP MCB10 kA, C/D Curve ISI Mark. Makes : Legrand-DX3 / Schneider-Acti9 / Siemens / LK  Exora</t>
        </is>
      </c>
      <c r="E142" s="14" t="n">
        <v>1</v>
      </c>
      <c r="F142" s="14" t="inlineStr">
        <is>
          <t>each</t>
        </is>
      </c>
      <c r="G142" s="14" t="n">
        <v>1</v>
      </c>
      <c r="H142" s="14" t="inlineStr">
        <is>
          <t>each</t>
        </is>
      </c>
      <c r="I142" s="14" t="n">
        <v>2390</v>
      </c>
      <c r="J142" s="12">
        <f>I142*E142</f>
        <v/>
      </c>
    </row>
    <row r="143">
      <c r="A143" s="6" t="n"/>
      <c r="B143" s="6" t="n"/>
      <c r="C143" s="6" t="n"/>
      <c r="D143" s="9" t="inlineStr">
        <is>
          <t>Cost of materials per each</t>
        </is>
      </c>
      <c r="E143" s="10" t="n"/>
      <c r="F143" s="6" t="n"/>
      <c r="G143" s="6" t="n"/>
      <c r="H143" s="6" t="n"/>
      <c r="I143" s="10" t="n"/>
      <c r="J143" s="10">
        <f>J142</f>
        <v/>
      </c>
    </row>
    <row r="144">
      <c r="A144" s="6" t="n"/>
      <c r="B144" s="5" t="n"/>
      <c r="C144" s="6" t="n"/>
      <c r="D144" s="16" t="inlineStr">
        <is>
          <t>Add OH@10.615%</t>
        </is>
      </c>
      <c r="E144" s="17" t="n"/>
      <c r="F144" s="5" t="n"/>
      <c r="G144" s="5" t="n"/>
      <c r="H144" s="5" t="n"/>
      <c r="I144" s="17" t="n"/>
      <c r="J144" s="17">
        <f>10.615%*J143</f>
        <v/>
      </c>
    </row>
    <row r="145">
      <c r="A145" s="6" t="n"/>
      <c r="B145" s="5" t="n"/>
      <c r="C145" s="6" t="n"/>
      <c r="D145" s="16" t="inlineStr">
        <is>
          <t>Total</t>
        </is>
      </c>
      <c r="E145" s="17" t="n"/>
      <c r="F145" s="5" t="n"/>
      <c r="G145" s="5" t="n"/>
      <c r="H145" s="5" t="n"/>
      <c r="I145" s="17" t="n"/>
      <c r="J145" s="17">
        <f>J143+J144</f>
        <v/>
      </c>
    </row>
    <row r="146">
      <c r="A146" s="19" t="n"/>
      <c r="B146" s="20" t="n"/>
      <c r="C146" s="19" t="n"/>
      <c r="D146" s="19" t="n"/>
      <c r="E146" s="19" t="n"/>
      <c r="F146" s="19" t="n"/>
      <c r="G146" s="19" t="n"/>
      <c r="H146" s="19" t="n"/>
      <c r="I146" s="19" t="inlineStr">
        <is>
          <t>Or Say</t>
        </is>
      </c>
      <c r="J146" s="21">
        <f>ROUND(J145,0)</f>
        <v/>
      </c>
    </row>
    <row r="147">
      <c r="A147" s="1" t="n"/>
      <c r="B147" s="1" t="n"/>
      <c r="C147" s="1" t="n"/>
      <c r="D147" s="2" t="inlineStr">
        <is>
          <t>40A DP Isolator</t>
        </is>
      </c>
      <c r="E147" s="1" t="n"/>
      <c r="F147" s="1" t="n"/>
      <c r="G147" s="1" t="n"/>
      <c r="H147" s="1" t="n"/>
      <c r="I147" s="1" t="n"/>
      <c r="J147" s="1" t="n"/>
    </row>
    <row r="148">
      <c r="A148" s="3" t="n"/>
      <c r="B148" s="3" t="n"/>
      <c r="C148" s="3" t="n"/>
      <c r="D148" s="4" t="inlineStr">
        <is>
          <t xml:space="preserve">Data </t>
        </is>
      </c>
      <c r="E148" s="3" t="n"/>
      <c r="F148" s="3" t="n"/>
      <c r="G148" s="3" t="n"/>
      <c r="H148" s="3" t="n"/>
      <c r="I148" s="3" t="n"/>
      <c r="J148" s="3" t="n"/>
    </row>
    <row r="149" ht="25.5" customHeight="1">
      <c r="A149" s="5" t="n"/>
      <c r="B149" s="6" t="n"/>
      <c r="C149" s="5" t="n"/>
      <c r="D149" s="7" t="inlineStr">
        <is>
          <t xml:space="preserve">Replacement of u/s with new Supply of 40A DP Isolator. Makes : Legrand-DX3 / Schneider-Acti9 / Siemens / LK  Exora </t>
        </is>
      </c>
      <c r="E149" s="7" t="n"/>
      <c r="F149" s="7" t="n"/>
      <c r="G149" s="7" t="n"/>
      <c r="H149" s="7" t="n"/>
      <c r="I149" s="7" t="n"/>
      <c r="J149" s="7" t="n"/>
    </row>
    <row r="150" ht="25.5" customHeight="1">
      <c r="A150" s="8" t="n"/>
      <c r="B150" s="6" t="inlineStr">
        <is>
          <t>SOR 2025-26</t>
        </is>
      </c>
      <c r="C150" s="6" t="n"/>
      <c r="D150" s="9" t="inlineStr">
        <is>
          <t>a) Material</t>
        </is>
      </c>
      <c r="E150" s="10" t="inlineStr">
        <is>
          <t>Qty</t>
        </is>
      </c>
      <c r="F150" s="6" t="inlineStr">
        <is>
          <t>Unit</t>
        </is>
      </c>
      <c r="G150" s="11" t="inlineStr">
        <is>
          <t>Qty</t>
        </is>
      </c>
      <c r="H150" s="6" t="inlineStr">
        <is>
          <t>Unit</t>
        </is>
      </c>
      <c r="I150" s="10" t="inlineStr">
        <is>
          <t>Rate per unit</t>
        </is>
      </c>
      <c r="J150" s="12" t="inlineStr">
        <is>
          <t>Amount</t>
        </is>
      </c>
    </row>
    <row r="151" ht="25.5" customHeight="1">
      <c r="A151" s="8" t="n"/>
      <c r="B151" s="18" t="inlineStr">
        <is>
          <t>ELEC-2.15.1 - d</t>
        </is>
      </c>
      <c r="C151" s="6" t="n">
        <v>1</v>
      </c>
      <c r="D151" s="9" t="inlineStr">
        <is>
          <t>Supply of 40A DP Isolator. Makes : Legrand-DX3 / Schneider-Acti9 / Siemens / LK  Exora</t>
        </is>
      </c>
      <c r="E151" s="14" t="n">
        <v>1</v>
      </c>
      <c r="F151" s="14" t="inlineStr">
        <is>
          <t>each</t>
        </is>
      </c>
      <c r="G151" s="14" t="n">
        <v>1</v>
      </c>
      <c r="H151" s="14" t="inlineStr">
        <is>
          <t>each</t>
        </is>
      </c>
      <c r="I151" s="14" t="n">
        <v>620</v>
      </c>
      <c r="J151" s="12">
        <f>I151*E151</f>
        <v/>
      </c>
    </row>
    <row r="152">
      <c r="A152" s="6" t="n"/>
      <c r="B152" s="6" t="n"/>
      <c r="C152" s="6" t="n"/>
      <c r="D152" s="9" t="inlineStr">
        <is>
          <t>Cost of materials per each</t>
        </is>
      </c>
      <c r="E152" s="10" t="n"/>
      <c r="F152" s="6" t="n"/>
      <c r="G152" s="6" t="n"/>
      <c r="H152" s="6" t="n"/>
      <c r="I152" s="10" t="n"/>
      <c r="J152" s="10">
        <f>J151</f>
        <v/>
      </c>
    </row>
    <row r="153">
      <c r="A153" s="6" t="n"/>
      <c r="B153" s="5" t="n"/>
      <c r="C153" s="6" t="n"/>
      <c r="D153" s="16" t="inlineStr">
        <is>
          <t>Add OH@10.615%</t>
        </is>
      </c>
      <c r="E153" s="17" t="n"/>
      <c r="F153" s="5" t="n"/>
      <c r="G153" s="5" t="n"/>
      <c r="H153" s="5" t="n"/>
      <c r="I153" s="17" t="n"/>
      <c r="J153" s="17">
        <f>10.615%*J152</f>
        <v/>
      </c>
    </row>
    <row r="154">
      <c r="A154" s="6" t="n"/>
      <c r="B154" s="5" t="n"/>
      <c r="C154" s="6" t="n"/>
      <c r="D154" s="16" t="inlineStr">
        <is>
          <t>Total</t>
        </is>
      </c>
      <c r="E154" s="17" t="n"/>
      <c r="F154" s="5" t="n"/>
      <c r="G154" s="5" t="n"/>
      <c r="H154" s="5" t="n"/>
      <c r="I154" s="17" t="n"/>
      <c r="J154" s="17">
        <f>J152+J153</f>
        <v/>
      </c>
    </row>
    <row r="155">
      <c r="A155" s="19" t="n"/>
      <c r="B155" s="20" t="n"/>
      <c r="C155" s="19" t="n"/>
      <c r="D155" s="19" t="n"/>
      <c r="E155" s="19" t="n"/>
      <c r="F155" s="19" t="n"/>
      <c r="G155" s="19" t="n"/>
      <c r="H155" s="19" t="n"/>
      <c r="I155" s="19" t="inlineStr">
        <is>
          <t>Or Say</t>
        </is>
      </c>
      <c r="J155" s="21">
        <f>ROUND(J154,0)</f>
        <v/>
      </c>
    </row>
    <row r="156">
      <c r="A156" s="1" t="n"/>
      <c r="B156" s="1" t="n"/>
      <c r="C156" s="1" t="n"/>
      <c r="D156" s="2" t="inlineStr">
        <is>
          <t xml:space="preserve"> 63A FP Isolator</t>
        </is>
      </c>
      <c r="E156" s="1" t="n"/>
      <c r="F156" s="1" t="n"/>
      <c r="G156" s="1" t="n"/>
      <c r="H156" s="1" t="n"/>
      <c r="I156" s="1" t="n"/>
      <c r="J156" s="1" t="n"/>
    </row>
    <row r="157">
      <c r="A157" s="3" t="n"/>
      <c r="B157" s="3" t="n"/>
      <c r="C157" s="3" t="n"/>
      <c r="D157" s="4" t="inlineStr">
        <is>
          <t xml:space="preserve">Data </t>
        </is>
      </c>
      <c r="E157" s="3" t="n"/>
      <c r="F157" s="3" t="n"/>
      <c r="G157" s="3" t="n"/>
      <c r="H157" s="3" t="n"/>
      <c r="I157" s="3" t="n"/>
      <c r="J157" s="3" t="n"/>
    </row>
    <row r="158" ht="25.5" customHeight="1">
      <c r="A158" s="5" t="n"/>
      <c r="B158" s="6" t="n"/>
      <c r="C158" s="5" t="n"/>
      <c r="D158" s="7" t="inlineStr">
        <is>
          <t>Replacement of u/s with new Supply of 63A FP Isolator. Makes : Legrand-DX3 / Schneider-Acti9 / Siemens / LK  Exora /</t>
        </is>
      </c>
      <c r="E158" s="7" t="n"/>
      <c r="F158" s="7" t="n"/>
      <c r="G158" s="7" t="n"/>
      <c r="H158" s="7" t="n"/>
      <c r="I158" s="7" t="n"/>
      <c r="J158" s="7" t="n"/>
    </row>
    <row r="159" ht="25.5" customHeight="1">
      <c r="A159" s="8" t="n"/>
      <c r="B159" s="6" t="inlineStr">
        <is>
          <t>SOR 2025-26</t>
        </is>
      </c>
      <c r="C159" s="6" t="n"/>
      <c r="D159" s="9" t="inlineStr">
        <is>
          <t>a) Material</t>
        </is>
      </c>
      <c r="E159" s="10" t="inlineStr">
        <is>
          <t>Qty</t>
        </is>
      </c>
      <c r="F159" s="6" t="inlineStr">
        <is>
          <t>Unit</t>
        </is>
      </c>
      <c r="G159" s="11" t="inlineStr">
        <is>
          <t>Qty</t>
        </is>
      </c>
      <c r="H159" s="6" t="inlineStr">
        <is>
          <t>Unit</t>
        </is>
      </c>
      <c r="I159" s="10" t="inlineStr">
        <is>
          <t>Rate per unit</t>
        </is>
      </c>
      <c r="J159" s="12" t="inlineStr">
        <is>
          <t>Amount</t>
        </is>
      </c>
    </row>
    <row r="160" ht="25.5" customHeight="1">
      <c r="A160" s="8" t="n"/>
      <c r="B160" s="18" t="inlineStr">
        <is>
          <t>ELEC-2.15.1 - g</t>
        </is>
      </c>
      <c r="C160" s="6" t="n">
        <v>1</v>
      </c>
      <c r="D160" s="9" t="inlineStr">
        <is>
          <t xml:space="preserve">Supply of 63A FP Isolator. Makes : Legrand-DX3 / Schneider-Acti9 / Siemens / LK Exora </t>
        </is>
      </c>
      <c r="E160" s="14" t="n">
        <v>1</v>
      </c>
      <c r="F160" s="14" t="inlineStr">
        <is>
          <t>each</t>
        </is>
      </c>
      <c r="G160" s="14" t="n">
        <v>1</v>
      </c>
      <c r="H160" s="14" t="inlineStr">
        <is>
          <t>each</t>
        </is>
      </c>
      <c r="I160" s="14" t="n">
        <v>1512</v>
      </c>
      <c r="J160" s="12">
        <f>I160*E160</f>
        <v/>
      </c>
    </row>
    <row r="161">
      <c r="A161" s="6" t="n"/>
      <c r="B161" s="6" t="n"/>
      <c r="C161" s="6" t="n"/>
      <c r="D161" s="9" t="inlineStr">
        <is>
          <t>Cost of materials per each</t>
        </is>
      </c>
      <c r="E161" s="10" t="n"/>
      <c r="F161" s="6" t="n"/>
      <c r="G161" s="6" t="n"/>
      <c r="H161" s="6" t="n"/>
      <c r="I161" s="10" t="n"/>
      <c r="J161" s="10">
        <f>J160</f>
        <v/>
      </c>
    </row>
    <row r="162">
      <c r="A162" s="6" t="n"/>
      <c r="B162" s="5" t="n"/>
      <c r="C162" s="6" t="n"/>
      <c r="D162" s="16" t="inlineStr">
        <is>
          <t>Add OH@10.615%</t>
        </is>
      </c>
      <c r="E162" s="17" t="n"/>
      <c r="F162" s="5" t="n"/>
      <c r="G162" s="5" t="n"/>
      <c r="H162" s="5" t="n"/>
      <c r="I162" s="17" t="n"/>
      <c r="J162" s="17">
        <f>10.615%*J161</f>
        <v/>
      </c>
    </row>
    <row r="163">
      <c r="A163" s="6" t="n"/>
      <c r="B163" s="5" t="n"/>
      <c r="C163" s="6" t="n"/>
      <c r="D163" s="16" t="inlineStr">
        <is>
          <t>Total</t>
        </is>
      </c>
      <c r="E163" s="17" t="n"/>
      <c r="F163" s="5" t="n"/>
      <c r="G163" s="5" t="n"/>
      <c r="H163" s="5" t="n"/>
      <c r="I163" s="17" t="n"/>
      <c r="J163" s="17">
        <f>J161+J162</f>
        <v/>
      </c>
    </row>
    <row r="164">
      <c r="A164" s="19" t="n"/>
      <c r="B164" s="20" t="n"/>
      <c r="C164" s="19" t="n"/>
      <c r="D164" s="19" t="n"/>
      <c r="E164" s="19" t="n"/>
      <c r="F164" s="19" t="n"/>
      <c r="G164" s="19" t="n"/>
      <c r="H164" s="19" t="n"/>
      <c r="I164" s="19" t="inlineStr">
        <is>
          <t>Or Say</t>
        </is>
      </c>
      <c r="J164" s="21">
        <f>ROUND(J163,0)</f>
        <v/>
      </c>
    </row>
    <row r="165">
      <c r="A165" s="1" t="n"/>
      <c r="B165" s="1" t="n"/>
      <c r="C165" s="1" t="n"/>
      <c r="D165" s="2" t="inlineStr">
        <is>
          <t>100A FP Isolator</t>
        </is>
      </c>
      <c r="E165" s="1" t="n"/>
      <c r="F165" s="1" t="n"/>
      <c r="G165" s="1" t="n"/>
      <c r="H165" s="1" t="n"/>
      <c r="I165" s="1" t="n"/>
      <c r="J165" s="1" t="n"/>
    </row>
    <row r="166">
      <c r="A166" s="3" t="n"/>
      <c r="B166" s="3" t="n"/>
      <c r="C166" s="3" t="n"/>
      <c r="D166" s="4" t="inlineStr">
        <is>
          <t xml:space="preserve">Data </t>
        </is>
      </c>
      <c r="E166" s="3" t="n"/>
      <c r="F166" s="3" t="n"/>
      <c r="G166" s="3" t="n"/>
      <c r="H166" s="3" t="n"/>
      <c r="I166" s="3" t="n"/>
      <c r="J166" s="3" t="n"/>
    </row>
    <row r="167" ht="25.5" customHeight="1">
      <c r="A167" s="5" t="n"/>
      <c r="B167" s="6" t="n"/>
      <c r="C167" s="5" t="n"/>
      <c r="D167" s="7" t="inlineStr">
        <is>
          <t xml:space="preserve">Replacement of u/s with new Supply of 100A FP Isolator. Makes : Legrand-DX3 / Schneider-Acti9 / Siemens / LK  Exora </t>
        </is>
      </c>
      <c r="E167" s="7" t="n"/>
      <c r="F167" s="7" t="n"/>
      <c r="G167" s="7" t="n"/>
      <c r="H167" s="7" t="n"/>
      <c r="I167" s="7" t="n"/>
      <c r="J167" s="7" t="n"/>
    </row>
    <row r="168" ht="25.5" customHeight="1">
      <c r="A168" s="8" t="n"/>
      <c r="B168" s="6" t="inlineStr">
        <is>
          <t>SOR 2025-26</t>
        </is>
      </c>
      <c r="C168" s="6" t="n"/>
      <c r="D168" s="9" t="inlineStr">
        <is>
          <t>a) Material</t>
        </is>
      </c>
      <c r="E168" s="10" t="inlineStr">
        <is>
          <t>Qty</t>
        </is>
      </c>
      <c r="F168" s="6" t="inlineStr">
        <is>
          <t>Unit</t>
        </is>
      </c>
      <c r="G168" s="11" t="inlineStr">
        <is>
          <t>Qty</t>
        </is>
      </c>
      <c r="H168" s="6" t="inlineStr">
        <is>
          <t>Unit</t>
        </is>
      </c>
      <c r="I168" s="10" t="inlineStr">
        <is>
          <t>Rate per unit</t>
        </is>
      </c>
      <c r="J168" s="12" t="inlineStr">
        <is>
          <t>Amount</t>
        </is>
      </c>
    </row>
    <row r="169" ht="25.5" customHeight="1">
      <c r="A169" s="8" t="n"/>
      <c r="B169" s="18" t="inlineStr">
        <is>
          <t>ELEC-2.15.1  h</t>
        </is>
      </c>
      <c r="C169" s="6" t="n">
        <v>1</v>
      </c>
      <c r="D169" s="9" t="inlineStr">
        <is>
          <t xml:space="preserve">Supply of 100A FP Isolator. Makes : Legrand-DX3 / Schneider-Acti9 / Siemens / LK  Exora </t>
        </is>
      </c>
      <c r="E169" s="14" t="n">
        <v>1</v>
      </c>
      <c r="F169" s="14" t="inlineStr">
        <is>
          <t>each</t>
        </is>
      </c>
      <c r="G169" s="14" t="n">
        <v>1</v>
      </c>
      <c r="H169" s="14" t="inlineStr">
        <is>
          <t>each</t>
        </is>
      </c>
      <c r="I169" s="14" t="n">
        <v>1617</v>
      </c>
      <c r="J169" s="12">
        <f>I169*E169</f>
        <v/>
      </c>
    </row>
    <row r="170">
      <c r="A170" s="6" t="n"/>
      <c r="B170" s="6" t="n"/>
      <c r="C170" s="6" t="n"/>
      <c r="D170" s="9" t="inlineStr">
        <is>
          <t>Cost of materials per each</t>
        </is>
      </c>
      <c r="E170" s="10" t="n"/>
      <c r="F170" s="6" t="n"/>
      <c r="G170" s="6" t="n"/>
      <c r="H170" s="6" t="n"/>
      <c r="I170" s="10" t="n"/>
      <c r="J170" s="10">
        <f>J169</f>
        <v/>
      </c>
    </row>
    <row r="171">
      <c r="A171" s="6" t="n"/>
      <c r="B171" s="5" t="n"/>
      <c r="C171" s="6" t="n"/>
      <c r="D171" s="16" t="inlineStr">
        <is>
          <t>Add OH@10.615%</t>
        </is>
      </c>
      <c r="E171" s="17" t="n"/>
      <c r="F171" s="5" t="n"/>
      <c r="G171" s="5" t="n"/>
      <c r="H171" s="5" t="n"/>
      <c r="I171" s="17" t="n"/>
      <c r="J171" s="17">
        <f>10.615%*J170</f>
        <v/>
      </c>
    </row>
    <row r="172">
      <c r="A172" s="6" t="n"/>
      <c r="B172" s="5" t="n"/>
      <c r="C172" s="6" t="n"/>
      <c r="D172" s="16" t="inlineStr">
        <is>
          <t>Total</t>
        </is>
      </c>
      <c r="E172" s="17" t="n"/>
      <c r="F172" s="5" t="n"/>
      <c r="G172" s="5" t="n"/>
      <c r="H172" s="5" t="n"/>
      <c r="I172" s="17" t="n"/>
      <c r="J172" s="17">
        <f>J170+J171</f>
        <v/>
      </c>
    </row>
    <row r="173">
      <c r="A173" s="19" t="n"/>
      <c r="B173" s="20" t="n"/>
      <c r="C173" s="19" t="n"/>
      <c r="D173" s="19" t="n"/>
      <c r="E173" s="19" t="n"/>
      <c r="F173" s="19" t="n"/>
      <c r="G173" s="19" t="n"/>
      <c r="H173" s="19" t="n"/>
      <c r="I173" s="19" t="inlineStr">
        <is>
          <t>Or Say</t>
        </is>
      </c>
      <c r="J173" s="21">
        <f>ROUND(J172,0)</f>
        <v/>
      </c>
    </row>
    <row r="174">
      <c r="A174" s="1" t="n"/>
      <c r="B174" s="1" t="n"/>
      <c r="C174" s="1" t="n"/>
      <c r="D174" s="2" t="inlineStr">
        <is>
          <t>125A 3 Pole MCCB</t>
        </is>
      </c>
      <c r="E174" s="1" t="n"/>
      <c r="F174" s="1" t="n"/>
      <c r="G174" s="1" t="n"/>
      <c r="H174" s="1" t="n"/>
      <c r="I174" s="1" t="n"/>
      <c r="J174" s="1" t="n"/>
    </row>
    <row r="175">
      <c r="A175" s="3" t="n"/>
      <c r="B175" s="3" t="n"/>
      <c r="C175" s="3" t="n"/>
      <c r="D175" s="4" t="inlineStr">
        <is>
          <t xml:space="preserve">Data </t>
        </is>
      </c>
      <c r="E175" s="3" t="n"/>
      <c r="F175" s="3" t="n"/>
      <c r="G175" s="3" t="n"/>
      <c r="H175" s="3" t="n"/>
      <c r="I175" s="3" t="n"/>
      <c r="J175" s="3" t="n"/>
    </row>
    <row r="176" ht="51" customHeight="1">
      <c r="A176" s="5" t="n"/>
      <c r="B176" s="6" t="n"/>
      <c r="C176" s="5" t="n"/>
      <c r="D176" s="7" t="inlineStr">
        <is>
          <t xml:space="preserve">Replacement of u/s with new Supply of 125A 3 Pole MCCB, Adjustable, Confirms to IS/IEC 60947-2 having Breaking Capacity 25kA with thermal magnetic release Panel Mounted. Makes : LK - D sine / Schneider-NS NSX/Legrand -DP X3/ Siemens-3V </t>
        </is>
      </c>
      <c r="E176" s="7" t="n"/>
      <c r="F176" s="7" t="n"/>
      <c r="G176" s="7" t="n"/>
      <c r="H176" s="7" t="n"/>
      <c r="I176" s="7" t="n"/>
      <c r="J176" s="7" t="n"/>
    </row>
    <row r="177" ht="25.5" customHeight="1">
      <c r="A177" s="8" t="n"/>
      <c r="B177" s="6" t="inlineStr">
        <is>
          <t>SOR 2025-26</t>
        </is>
      </c>
      <c r="C177" s="6" t="n"/>
      <c r="D177" s="9" t="inlineStr">
        <is>
          <t>a) Material</t>
        </is>
      </c>
      <c r="E177" s="10" t="inlineStr">
        <is>
          <t>Qty</t>
        </is>
      </c>
      <c r="F177" s="6" t="inlineStr">
        <is>
          <t>Unit</t>
        </is>
      </c>
      <c r="G177" s="11" t="inlineStr">
        <is>
          <t>Qty</t>
        </is>
      </c>
      <c r="H177" s="6" t="inlineStr">
        <is>
          <t>Unit</t>
        </is>
      </c>
      <c r="I177" s="10" t="inlineStr">
        <is>
          <t>Rate per unit</t>
        </is>
      </c>
      <c r="J177" s="12" t="inlineStr">
        <is>
          <t>Amount</t>
        </is>
      </c>
    </row>
    <row r="178" ht="38.25" customHeight="1">
      <c r="A178" s="8" t="n"/>
      <c r="B178" s="18" t="inlineStr">
        <is>
          <t>ELEC-2.8.1  c</t>
        </is>
      </c>
      <c r="C178" s="6" t="n">
        <v>1</v>
      </c>
      <c r="D178" s="9" t="inlineStr">
        <is>
          <t>Supply of 125A 3 Pole MCCB, Adjustable, Confirms to IS/IEC 60947-2 having Breaking Capacity 25kA with thermal magnetic release Panel Mounted. Makes : LK (L&amp;T) - D sine / Schneider-NS NSX/Legrand -DP X3/ Siemens-3V</t>
        </is>
      </c>
      <c r="E178" s="14" t="n">
        <v>1</v>
      </c>
      <c r="F178" s="14" t="inlineStr">
        <is>
          <t>each</t>
        </is>
      </c>
      <c r="G178" s="14" t="n">
        <v>1</v>
      </c>
      <c r="H178" s="14" t="inlineStr">
        <is>
          <t>each</t>
        </is>
      </c>
      <c r="I178" s="14" t="n">
        <v>11380</v>
      </c>
      <c r="J178" s="12">
        <f>I178*E178</f>
        <v/>
      </c>
    </row>
    <row r="179">
      <c r="A179" s="6" t="n"/>
      <c r="B179" s="6" t="n"/>
      <c r="C179" s="6" t="n"/>
      <c r="D179" s="9" t="inlineStr">
        <is>
          <t>Cost of materials per each</t>
        </is>
      </c>
      <c r="E179" s="10" t="n"/>
      <c r="F179" s="6" t="n"/>
      <c r="G179" s="6" t="n"/>
      <c r="H179" s="6" t="n"/>
      <c r="I179" s="10" t="n"/>
      <c r="J179" s="10">
        <f>J178</f>
        <v/>
      </c>
    </row>
    <row r="180">
      <c r="A180" s="6" t="n"/>
      <c r="B180" s="5" t="n"/>
      <c r="C180" s="6" t="n"/>
      <c r="D180" s="16" t="inlineStr">
        <is>
          <t>Add OH@10.615%</t>
        </is>
      </c>
      <c r="E180" s="17" t="n"/>
      <c r="F180" s="5" t="n"/>
      <c r="G180" s="5" t="n"/>
      <c r="H180" s="5" t="n"/>
      <c r="I180" s="17" t="n"/>
      <c r="J180" s="17">
        <f>10.615%*J179</f>
        <v/>
      </c>
    </row>
    <row r="181">
      <c r="A181" s="6" t="n"/>
      <c r="B181" s="5" t="n"/>
      <c r="C181" s="6" t="n"/>
      <c r="D181" s="16" t="inlineStr">
        <is>
          <t>Total</t>
        </is>
      </c>
      <c r="E181" s="17" t="n"/>
      <c r="F181" s="5" t="n"/>
      <c r="G181" s="5" t="n"/>
      <c r="H181" s="5" t="n"/>
      <c r="I181" s="17" t="n"/>
      <c r="J181" s="17">
        <f>J179+J180</f>
        <v/>
      </c>
    </row>
    <row r="182">
      <c r="A182" s="19" t="n"/>
      <c r="B182" s="20" t="n"/>
      <c r="C182" s="19" t="n"/>
      <c r="D182" s="19" t="n"/>
      <c r="E182" s="19" t="n"/>
      <c r="F182" s="19" t="n"/>
      <c r="G182" s="19" t="n"/>
      <c r="H182" s="19" t="n"/>
      <c r="I182" s="19" t="inlineStr">
        <is>
          <t>Or Say</t>
        </is>
      </c>
      <c r="J182" s="21">
        <f>ROUND(J181,0)</f>
        <v/>
      </c>
    </row>
    <row r="183">
      <c r="A183" s="1" t="n"/>
      <c r="B183" s="1" t="n"/>
      <c r="C183" s="1" t="n"/>
      <c r="D183" s="2" t="inlineStr">
        <is>
          <t xml:space="preserve"> 6/10A 1Way 1 Module Switch</t>
        </is>
      </c>
      <c r="E183" s="1" t="n"/>
      <c r="F183" s="1" t="n"/>
      <c r="G183" s="1" t="n"/>
      <c r="H183" s="1" t="n"/>
      <c r="I183" s="1" t="n"/>
      <c r="J183" s="1" t="n"/>
    </row>
    <row r="184">
      <c r="A184" s="3" t="n"/>
      <c r="B184" s="3" t="n"/>
      <c r="C184" s="3" t="n"/>
      <c r="D184" s="4" t="inlineStr">
        <is>
          <t xml:space="preserve">Data </t>
        </is>
      </c>
      <c r="E184" s="3" t="n"/>
      <c r="F184" s="3" t="n"/>
      <c r="G184" s="3" t="n"/>
      <c r="H184" s="3" t="n"/>
      <c r="I184" s="3" t="n"/>
      <c r="J184" s="3" t="n"/>
    </row>
    <row r="185" ht="63.75" customHeight="1">
      <c r="A185" s="5" t="n"/>
      <c r="B185" s="6" t="n"/>
      <c r="C185" s="5" t="n"/>
      <c r="D185" s="7" t="inlineStr">
        <is>
          <t xml:space="preserve">Replacement of u/s with new Supply of 6/10A 1Way 1 Module SwitchMakes :: Legrand Lyncus / GM Four Five / Goldmedal Curve / Million m way / Anchor Roma Plus / Crabtree Verona / Panasonic Vision / Hager Insista / Benlo Vesta / C&amp;S Primo / CPL Vysma / Polycab Levana / Salzar - Elite / Elleys E-Soft  / Fybros Four-X </t>
        </is>
      </c>
      <c r="E185" s="7" t="n"/>
      <c r="F185" s="7" t="n"/>
      <c r="G185" s="7" t="n"/>
      <c r="H185" s="7" t="n"/>
      <c r="I185" s="7" t="n"/>
      <c r="J185" s="7" t="n"/>
    </row>
    <row r="186" ht="25.5" customHeight="1">
      <c r="A186" s="8" t="n"/>
      <c r="B186" s="6" t="inlineStr">
        <is>
          <t>SOR 2025-26</t>
        </is>
      </c>
      <c r="C186" s="6" t="n"/>
      <c r="D186" s="9" t="inlineStr">
        <is>
          <t>a) Material</t>
        </is>
      </c>
      <c r="E186" s="10" t="inlineStr">
        <is>
          <t>Qty</t>
        </is>
      </c>
      <c r="F186" s="6" t="inlineStr">
        <is>
          <t>Unit</t>
        </is>
      </c>
      <c r="G186" s="11" t="inlineStr">
        <is>
          <t>Qty</t>
        </is>
      </c>
      <c r="H186" s="6" t="inlineStr">
        <is>
          <t>Unit</t>
        </is>
      </c>
      <c r="I186" s="10" t="inlineStr">
        <is>
          <t>Rate per item</t>
        </is>
      </c>
      <c r="J186" s="12" t="inlineStr">
        <is>
          <t>Amount</t>
        </is>
      </c>
    </row>
    <row r="187" ht="51" customHeight="1">
      <c r="A187" s="8" t="n"/>
      <c r="B187" s="22" t="inlineStr">
        <is>
          <t>ELEC-1.9.2a</t>
        </is>
      </c>
      <c r="C187" s="6" t="n">
        <v>1</v>
      </c>
      <c r="D187" s="9" t="inlineStr">
        <is>
          <t xml:space="preserve">Supply of 6/10A 1Way 1 Module SwitchMakes :: Legrand Lyncus / GM Four Five / Goldmedal Curve / Million m way / Anchor Roma Plus / Crabtree Verona / Panasonic Vision / Hager Insista / Benlo Vesta / C&amp;S Primo / CPL Vysma / Polycab Levana / Salzar - Elite / Elleys E-Soft  / Fybros Four-X </t>
        </is>
      </c>
      <c r="E187" s="14" t="n">
        <v>1</v>
      </c>
      <c r="F187" s="14" t="inlineStr">
        <is>
          <t>each</t>
        </is>
      </c>
      <c r="G187" s="14" t="n">
        <v>1</v>
      </c>
      <c r="H187" s="14" t="inlineStr">
        <is>
          <t>each</t>
        </is>
      </c>
      <c r="I187" s="14" t="n">
        <v>89</v>
      </c>
      <c r="J187" s="12">
        <f>I187*E187</f>
        <v/>
      </c>
    </row>
    <row r="188">
      <c r="A188" s="6" t="n"/>
      <c r="B188" s="6" t="n"/>
      <c r="C188" s="6" t="n"/>
      <c r="D188" s="9" t="inlineStr">
        <is>
          <t>Cost of materials per each</t>
        </is>
      </c>
      <c r="E188" s="10" t="n"/>
      <c r="F188" s="6" t="n"/>
      <c r="G188" s="6" t="n"/>
      <c r="H188" s="6" t="n"/>
      <c r="I188" s="10" t="n"/>
      <c r="J188" s="10">
        <f>J187</f>
        <v/>
      </c>
    </row>
    <row r="189">
      <c r="A189" s="6" t="n"/>
      <c r="B189" s="5" t="n"/>
      <c r="C189" s="6" t="n"/>
      <c r="D189" s="16" t="inlineStr">
        <is>
          <t>Add OH@10.615%</t>
        </is>
      </c>
      <c r="E189" s="17" t="n"/>
      <c r="F189" s="5" t="n"/>
      <c r="G189" s="5" t="n"/>
      <c r="H189" s="5" t="n"/>
      <c r="I189" s="17" t="n"/>
      <c r="J189" s="17">
        <f>10.615%*J188</f>
        <v/>
      </c>
    </row>
    <row r="190">
      <c r="A190" s="6" t="n"/>
      <c r="B190" s="5" t="n"/>
      <c r="C190" s="6" t="n"/>
      <c r="D190" s="16" t="inlineStr">
        <is>
          <t>Total</t>
        </is>
      </c>
      <c r="E190" s="17" t="n"/>
      <c r="F190" s="5" t="n"/>
      <c r="G190" s="5" t="n"/>
      <c r="H190" s="5" t="n"/>
      <c r="I190" s="17" t="n"/>
      <c r="J190" s="17">
        <f>J188+J189</f>
        <v/>
      </c>
    </row>
    <row r="191">
      <c r="A191" s="19" t="n"/>
      <c r="B191" s="20" t="n"/>
      <c r="C191" s="19" t="n"/>
      <c r="D191" s="19" t="n"/>
      <c r="E191" s="19" t="n"/>
      <c r="F191" s="19" t="n"/>
      <c r="G191" s="19" t="n"/>
      <c r="H191" s="19" t="n"/>
      <c r="I191" s="19" t="inlineStr">
        <is>
          <t>Or Say</t>
        </is>
      </c>
      <c r="J191" s="21">
        <f>ROUND(J190,0)</f>
        <v/>
      </c>
    </row>
    <row r="192">
      <c r="A192" s="1" t="n"/>
      <c r="B192" s="1" t="n"/>
      <c r="C192" s="1" t="n"/>
      <c r="D192" s="2" t="inlineStr">
        <is>
          <t>10A 3  Pin 2 Moduar Socket</t>
        </is>
      </c>
      <c r="E192" s="1" t="n"/>
      <c r="F192" s="1" t="n"/>
      <c r="G192" s="1" t="n"/>
      <c r="H192" s="1" t="n"/>
      <c r="I192" s="1" t="n"/>
      <c r="J192" s="1" t="n"/>
    </row>
    <row r="193">
      <c r="A193" s="3" t="n"/>
      <c r="B193" s="3" t="n"/>
      <c r="C193" s="3" t="n"/>
      <c r="D193" s="4" t="inlineStr">
        <is>
          <t xml:space="preserve">Data </t>
        </is>
      </c>
      <c r="E193" s="3" t="n"/>
      <c r="F193" s="3" t="n"/>
      <c r="G193" s="3" t="n"/>
      <c r="H193" s="3" t="n"/>
      <c r="I193" s="3" t="n"/>
      <c r="J193" s="3" t="n"/>
    </row>
    <row r="194" ht="38.25" customHeight="1">
      <c r="A194" s="5" t="n"/>
      <c r="B194" s="23" t="n"/>
      <c r="C194" s="5" t="n"/>
      <c r="D194" s="24" t="inlineStr">
        <is>
          <t>Replacement of u/s with new Supply of 10A 3  Pin 2 Moduar Socket with shutter 1Way 1 Module SwitchMakes ::   Legrand Lyncus / GM Four Five / Goldmedal Curve / Million Milltech / Anchor Roma Plus</t>
        </is>
      </c>
      <c r="E194" s="25" t="n"/>
      <c r="F194" s="25" t="n"/>
      <c r="G194" s="25" t="n"/>
      <c r="H194" s="25" t="n"/>
      <c r="I194" s="25" t="n"/>
      <c r="J194" s="25" t="n"/>
    </row>
    <row r="195" ht="25.5" customHeight="1">
      <c r="A195" s="8" t="n"/>
      <c r="B195" s="6" t="inlineStr">
        <is>
          <t>SOR 2025-26</t>
        </is>
      </c>
      <c r="C195" s="6" t="n"/>
      <c r="D195" s="9" t="inlineStr">
        <is>
          <t>a) Material</t>
        </is>
      </c>
      <c r="E195" s="10" t="inlineStr">
        <is>
          <t>Qty</t>
        </is>
      </c>
      <c r="F195" s="6" t="inlineStr">
        <is>
          <t>Unit</t>
        </is>
      </c>
      <c r="G195" s="11" t="inlineStr">
        <is>
          <t>Qty</t>
        </is>
      </c>
      <c r="H195" s="6" t="inlineStr">
        <is>
          <t>Unit</t>
        </is>
      </c>
      <c r="I195" s="10" t="inlineStr">
        <is>
          <t>Rate per item</t>
        </is>
      </c>
      <c r="J195" s="12" t="inlineStr">
        <is>
          <t>Amount</t>
        </is>
      </c>
    </row>
    <row r="196" ht="38.25" customHeight="1">
      <c r="A196" s="8" t="n"/>
      <c r="B196" s="26" t="inlineStr">
        <is>
          <t>ELEC-1.9.2d</t>
        </is>
      </c>
      <c r="C196" s="6" t="n">
        <v>1</v>
      </c>
      <c r="D196" s="9" t="inlineStr">
        <is>
          <t>Supply of 10A 3  Pin 2 Moduar Socket with shutter 1Way 1 Module SwitchMakes ::   Legrand Lyncus / GM Four Five / Goldmedal Curve / Million Milltech / Anchor Roma Plus</t>
        </is>
      </c>
      <c r="E196" s="14" t="n">
        <v>1</v>
      </c>
      <c r="F196" s="14" t="inlineStr">
        <is>
          <t>each</t>
        </is>
      </c>
      <c r="G196" s="14" t="n">
        <v>1</v>
      </c>
      <c r="H196" s="14" t="inlineStr">
        <is>
          <t>each</t>
        </is>
      </c>
      <c r="I196" s="14" t="n">
        <v>131</v>
      </c>
      <c r="J196" s="12">
        <f>I196*E196</f>
        <v/>
      </c>
    </row>
    <row r="197">
      <c r="A197" s="6" t="n"/>
      <c r="B197" s="6" t="n"/>
      <c r="C197" s="6" t="n"/>
      <c r="D197" s="9" t="inlineStr">
        <is>
          <t>Cost of materials per each</t>
        </is>
      </c>
      <c r="E197" s="10" t="n"/>
      <c r="F197" s="6" t="n"/>
      <c r="G197" s="6" t="n"/>
      <c r="H197" s="6" t="n"/>
      <c r="I197" s="10" t="n"/>
      <c r="J197" s="10">
        <f>J196</f>
        <v/>
      </c>
    </row>
    <row r="198">
      <c r="A198" s="6" t="n"/>
      <c r="B198" s="5" t="n"/>
      <c r="C198" s="6" t="n"/>
      <c r="D198" s="16" t="inlineStr">
        <is>
          <t>Add OH@10.615%</t>
        </is>
      </c>
      <c r="E198" s="17" t="n"/>
      <c r="F198" s="5" t="n"/>
      <c r="G198" s="5" t="n"/>
      <c r="H198" s="5" t="n"/>
      <c r="I198" s="17" t="n"/>
      <c r="J198" s="17">
        <f>10.615%*J197</f>
        <v/>
      </c>
    </row>
    <row r="199">
      <c r="A199" s="6" t="n"/>
      <c r="B199" s="5" t="n"/>
      <c r="C199" s="6" t="n"/>
      <c r="D199" s="16" t="inlineStr">
        <is>
          <t>Total</t>
        </is>
      </c>
      <c r="E199" s="17" t="n"/>
      <c r="F199" s="5" t="n"/>
      <c r="G199" s="5" t="n"/>
      <c r="H199" s="5" t="n"/>
      <c r="I199" s="17" t="n"/>
      <c r="J199" s="17">
        <f>J197+J198</f>
        <v/>
      </c>
    </row>
    <row r="200">
      <c r="A200" s="19" t="n"/>
      <c r="B200" s="20" t="n"/>
      <c r="C200" s="19" t="n"/>
      <c r="D200" s="19" t="n"/>
      <c r="E200" s="19" t="n"/>
      <c r="F200" s="19" t="n"/>
      <c r="G200" s="19" t="n"/>
      <c r="H200" s="19" t="n"/>
      <c r="I200" s="19" t="inlineStr">
        <is>
          <t>Or Say</t>
        </is>
      </c>
      <c r="J200" s="21">
        <f>ROUND(J199,0)</f>
        <v/>
      </c>
    </row>
    <row r="201">
      <c r="A201" s="1" t="n"/>
      <c r="B201" s="1" t="n"/>
      <c r="C201" s="1" t="n"/>
      <c r="D201" s="2" t="inlineStr">
        <is>
          <t>10A Modular Bell Push</t>
        </is>
      </c>
      <c r="E201" s="1" t="n"/>
      <c r="F201" s="1" t="n"/>
      <c r="G201" s="1" t="n"/>
      <c r="H201" s="1" t="n"/>
      <c r="I201" s="1" t="n"/>
      <c r="J201" s="1" t="n"/>
    </row>
    <row r="202">
      <c r="A202" s="3" t="n"/>
      <c r="B202" s="3" t="n"/>
      <c r="C202" s="3" t="n"/>
      <c r="D202" s="4" t="inlineStr">
        <is>
          <t xml:space="preserve">Data </t>
        </is>
      </c>
      <c r="E202" s="3" t="n"/>
      <c r="F202" s="3" t="n"/>
      <c r="G202" s="3" t="n"/>
      <c r="H202" s="3" t="n"/>
      <c r="I202" s="3" t="n"/>
      <c r="J202" s="3" t="n"/>
    </row>
    <row r="203" ht="38.25" customHeight="1">
      <c r="A203" s="5" t="n"/>
      <c r="B203" s="6" t="n"/>
      <c r="C203" s="5" t="n"/>
      <c r="D203" s="7" t="inlineStr">
        <is>
          <t>Replacement of u/s with new Supply of 10A Modular Bell Push with Neon Indicator- Makes :  Legrand Lyncus / GM Four Five / Goldmedal Curve / Million Milltech / Anchor Roma Plus</t>
        </is>
      </c>
      <c r="E203" s="7" t="n"/>
      <c r="F203" s="7" t="n"/>
      <c r="G203" s="7" t="n"/>
      <c r="H203" s="7" t="n"/>
      <c r="I203" s="7" t="n"/>
      <c r="J203" s="7" t="n"/>
    </row>
    <row r="204" ht="25.5" customHeight="1">
      <c r="A204" s="8" t="n"/>
      <c r="B204" s="6" t="inlineStr">
        <is>
          <t>SOR 2025-26</t>
        </is>
      </c>
      <c r="C204" s="6" t="n"/>
      <c r="D204" s="9" t="inlineStr">
        <is>
          <t>a) Material</t>
        </is>
      </c>
      <c r="E204" s="10" t="inlineStr">
        <is>
          <t>Qty</t>
        </is>
      </c>
      <c r="F204" s="6" t="inlineStr">
        <is>
          <t>Unit</t>
        </is>
      </c>
      <c r="G204" s="11" t="inlineStr">
        <is>
          <t>Qty</t>
        </is>
      </c>
      <c r="H204" s="6" t="inlineStr">
        <is>
          <t>Unit</t>
        </is>
      </c>
      <c r="I204" s="10" t="inlineStr">
        <is>
          <t>Rate per item</t>
        </is>
      </c>
      <c r="J204" s="12" t="inlineStr">
        <is>
          <t>Amount</t>
        </is>
      </c>
    </row>
    <row r="205" ht="25.5" customHeight="1">
      <c r="A205" s="8" t="n"/>
      <c r="B205" s="26" t="inlineStr">
        <is>
          <t>ELEC-1.9.2(f)</t>
        </is>
      </c>
      <c r="C205" s="6" t="n">
        <v>1</v>
      </c>
      <c r="D205" s="9" t="inlineStr">
        <is>
          <t>Supply of 10A Modular Bell Push with Neon Indicator- Makes :  Legrand Lyncus / GM Four Five / Goldmedal Curve / Million Milltech / Anchor Roma Plus</t>
        </is>
      </c>
      <c r="E205" s="14" t="n">
        <v>1</v>
      </c>
      <c r="F205" s="14" t="inlineStr">
        <is>
          <t>each</t>
        </is>
      </c>
      <c r="G205" s="14" t="n">
        <v>1</v>
      </c>
      <c r="H205" s="14" t="inlineStr">
        <is>
          <t>each</t>
        </is>
      </c>
      <c r="I205" s="14" t="n">
        <v>126</v>
      </c>
      <c r="J205" s="12">
        <f>I205*E205</f>
        <v/>
      </c>
    </row>
    <row r="206">
      <c r="A206" s="6" t="n"/>
      <c r="B206" s="6" t="n"/>
      <c r="C206" s="6" t="n"/>
      <c r="D206" s="9" t="inlineStr">
        <is>
          <t>Cost of materials per each</t>
        </is>
      </c>
      <c r="E206" s="10" t="n"/>
      <c r="F206" s="6" t="n"/>
      <c r="G206" s="6" t="n"/>
      <c r="H206" s="6" t="n"/>
      <c r="I206" s="10" t="n"/>
      <c r="J206" s="10">
        <f>J205</f>
        <v/>
      </c>
    </row>
    <row r="207">
      <c r="A207" s="6" t="n"/>
      <c r="B207" s="5" t="n"/>
      <c r="C207" s="6" t="n"/>
      <c r="D207" s="16" t="inlineStr">
        <is>
          <t>Add OH@10.615%</t>
        </is>
      </c>
      <c r="E207" s="17" t="n"/>
      <c r="F207" s="5" t="n"/>
      <c r="G207" s="5" t="n"/>
      <c r="H207" s="5" t="n"/>
      <c r="I207" s="17" t="n"/>
      <c r="J207" s="17">
        <f>10.615%*J206</f>
        <v/>
      </c>
    </row>
    <row r="208">
      <c r="A208" s="6" t="n"/>
      <c r="B208" s="5" t="n"/>
      <c r="C208" s="6" t="n"/>
      <c r="D208" s="16" t="inlineStr">
        <is>
          <t>Total</t>
        </is>
      </c>
      <c r="E208" s="17" t="n"/>
      <c r="F208" s="5" t="n"/>
      <c r="G208" s="5" t="n"/>
      <c r="H208" s="5" t="n"/>
      <c r="I208" s="17" t="n"/>
      <c r="J208" s="17">
        <f>J206+J207</f>
        <v/>
      </c>
    </row>
    <row r="209">
      <c r="A209" s="19" t="n"/>
      <c r="B209" s="20" t="n"/>
      <c r="C209" s="19" t="n"/>
      <c r="D209" s="19" t="n"/>
      <c r="E209" s="19" t="n"/>
      <c r="F209" s="19" t="n"/>
      <c r="G209" s="19" t="n"/>
      <c r="H209" s="19" t="n"/>
      <c r="I209" s="19" t="inlineStr">
        <is>
          <t>Or Say</t>
        </is>
      </c>
      <c r="J209" s="21">
        <f>ROUND(J208,0)</f>
        <v/>
      </c>
    </row>
    <row r="210">
      <c r="A210" s="1" t="n"/>
      <c r="B210" s="1" t="n"/>
      <c r="C210" s="1" t="n"/>
      <c r="D210" s="2" t="inlineStr">
        <is>
          <t>20A 1 Way 1 Module Modular Switch</t>
        </is>
      </c>
      <c r="E210" s="1" t="n"/>
      <c r="F210" s="1" t="n"/>
      <c r="G210" s="1" t="n"/>
      <c r="H210" s="1" t="n"/>
      <c r="I210" s="1" t="n"/>
      <c r="J210" s="1" t="n"/>
    </row>
    <row r="211">
      <c r="A211" s="3" t="n"/>
      <c r="B211" s="3" t="n"/>
      <c r="C211" s="3" t="n"/>
      <c r="D211" s="4" t="inlineStr">
        <is>
          <t xml:space="preserve">Data </t>
        </is>
      </c>
      <c r="E211" s="3" t="n"/>
      <c r="F211" s="3" t="n"/>
      <c r="G211" s="3" t="n"/>
      <c r="H211" s="3" t="n"/>
      <c r="I211" s="3" t="n"/>
      <c r="J211" s="3" t="n"/>
    </row>
    <row r="212" ht="38.25" customHeight="1">
      <c r="A212" s="5" t="n"/>
      <c r="B212" s="6" t="n"/>
      <c r="C212" s="5" t="n"/>
      <c r="D212" s="7" t="inlineStr">
        <is>
          <t>Replacement of u/s with new Supply of 20A 1 Way 1 Module Modular Switch with IndicatorMakes   Legrand Lyncus / GM Four Five / Goldmedal Curve / Million Milltech / Anchor Roma Plus</t>
        </is>
      </c>
      <c r="E212" s="7" t="n"/>
      <c r="F212" s="7" t="n"/>
      <c r="G212" s="7" t="n"/>
      <c r="H212" s="7" t="n"/>
      <c r="I212" s="7" t="n"/>
      <c r="J212" s="7" t="n"/>
    </row>
    <row r="213" ht="25.5" customHeight="1">
      <c r="A213" s="8" t="n"/>
      <c r="B213" s="6" t="inlineStr">
        <is>
          <t>SOR 2025-26</t>
        </is>
      </c>
      <c r="C213" s="6" t="n"/>
      <c r="D213" s="9" t="inlineStr">
        <is>
          <t>a) Material</t>
        </is>
      </c>
      <c r="E213" s="10" t="inlineStr">
        <is>
          <t>Qty</t>
        </is>
      </c>
      <c r="F213" s="6" t="inlineStr">
        <is>
          <t>Unit</t>
        </is>
      </c>
      <c r="G213" s="11" t="inlineStr">
        <is>
          <t>Qty</t>
        </is>
      </c>
      <c r="H213" s="6" t="inlineStr">
        <is>
          <t>Unit</t>
        </is>
      </c>
      <c r="I213" s="10" t="inlineStr">
        <is>
          <t>Rate per item</t>
        </is>
      </c>
      <c r="J213" s="12" t="inlineStr">
        <is>
          <t>Amount</t>
        </is>
      </c>
    </row>
    <row r="214" ht="25.5" customHeight="1">
      <c r="A214" s="8" t="n"/>
      <c r="B214" s="26" t="inlineStr">
        <is>
          <t>ELEC-1.9.2j</t>
        </is>
      </c>
      <c r="C214" s="6" t="n">
        <v>1</v>
      </c>
      <c r="D214" s="9" t="inlineStr">
        <is>
          <t xml:space="preserve"> Supply of 20A 1 Way 1 Module Modular Switch with IndicatorMakes :  Legrand Lyncus / GM Four Five / Goldmedal Curve / Million Milltech / Anchor Roma Plus</t>
        </is>
      </c>
      <c r="E214" s="14" t="n">
        <v>1</v>
      </c>
      <c r="F214" s="14" t="inlineStr">
        <is>
          <t>each</t>
        </is>
      </c>
      <c r="G214" s="14" t="n">
        <v>1</v>
      </c>
      <c r="H214" s="14" t="inlineStr">
        <is>
          <t>each</t>
        </is>
      </c>
      <c r="I214" s="14" t="n">
        <v>126</v>
      </c>
      <c r="J214" s="12">
        <f>I214*E214</f>
        <v/>
      </c>
    </row>
    <row r="215">
      <c r="A215" s="6" t="n"/>
      <c r="B215" s="6" t="n"/>
      <c r="C215" s="6" t="n"/>
      <c r="D215" s="9" t="inlineStr">
        <is>
          <t>Cost of materials per each</t>
        </is>
      </c>
      <c r="E215" s="10" t="n"/>
      <c r="F215" s="6" t="n"/>
      <c r="G215" s="6" t="n"/>
      <c r="H215" s="6" t="n"/>
      <c r="I215" s="10" t="n"/>
      <c r="J215" s="10">
        <f>J214</f>
        <v/>
      </c>
    </row>
    <row r="216">
      <c r="A216" s="6" t="n"/>
      <c r="B216" s="5" t="n"/>
      <c r="C216" s="6" t="n"/>
      <c r="D216" s="16" t="inlineStr">
        <is>
          <t>Add OH@10.615%</t>
        </is>
      </c>
      <c r="E216" s="17" t="n"/>
      <c r="F216" s="5" t="n"/>
      <c r="G216" s="5" t="n"/>
      <c r="H216" s="5" t="n"/>
      <c r="I216" s="17" t="n"/>
      <c r="J216" s="17">
        <f>10.615%*J215</f>
        <v/>
      </c>
    </row>
    <row r="217">
      <c r="A217" s="6" t="n"/>
      <c r="B217" s="5" t="n"/>
      <c r="C217" s="6" t="n"/>
      <c r="D217" s="16" t="inlineStr">
        <is>
          <t>Total</t>
        </is>
      </c>
      <c r="E217" s="17" t="n"/>
      <c r="F217" s="5" t="n"/>
      <c r="G217" s="5" t="n"/>
      <c r="H217" s="5" t="n"/>
      <c r="I217" s="17" t="n"/>
      <c r="J217" s="17">
        <f>J215+J216</f>
        <v/>
      </c>
    </row>
    <row r="218">
      <c r="A218" s="19" t="n"/>
      <c r="B218" s="20" t="n"/>
      <c r="C218" s="19" t="n"/>
      <c r="D218" s="19" t="n"/>
      <c r="E218" s="19" t="n"/>
      <c r="F218" s="19" t="n"/>
      <c r="G218" s="19" t="n"/>
      <c r="H218" s="19" t="n"/>
      <c r="I218" s="19" t="inlineStr">
        <is>
          <t>Or Say</t>
        </is>
      </c>
      <c r="J218" s="21">
        <f>ROUND(J217,0)</f>
        <v/>
      </c>
    </row>
    <row r="219">
      <c r="A219" s="1" t="n"/>
      <c r="B219" s="1" t="n"/>
      <c r="C219" s="1" t="n"/>
      <c r="D219" s="2" t="inlineStr">
        <is>
          <t>20A 2 Module Modular Socket</t>
        </is>
      </c>
      <c r="E219" s="1" t="n"/>
      <c r="F219" s="1" t="n"/>
      <c r="G219" s="1" t="n"/>
      <c r="H219" s="1" t="n"/>
      <c r="I219" s="1" t="n"/>
      <c r="J219" s="1" t="n"/>
    </row>
    <row r="220">
      <c r="A220" s="3" t="n"/>
      <c r="B220" s="3" t="n"/>
      <c r="C220" s="3" t="n"/>
      <c r="D220" s="4" t="inlineStr">
        <is>
          <t xml:space="preserve">Data </t>
        </is>
      </c>
      <c r="E220" s="3" t="n"/>
      <c r="F220" s="3" t="n"/>
      <c r="G220" s="3" t="n"/>
      <c r="H220" s="3" t="n"/>
      <c r="I220" s="3" t="n"/>
      <c r="J220" s="3" t="n"/>
    </row>
    <row r="221" ht="38.25" customHeight="1">
      <c r="A221" s="5" t="n"/>
      <c r="B221" s="6" t="n"/>
      <c r="C221" s="5" t="n"/>
      <c r="D221" s="7" t="inlineStr">
        <is>
          <t>Replacement of u/s with new Supply of 20A 2 Module Modular Socket with shutter.Makes :Legrand Lyncus / GM Four Five / Goldmedal Curve / Million Milltech / Anchor Roma Plus</t>
        </is>
      </c>
      <c r="E221" s="7" t="n"/>
      <c r="F221" s="7" t="n"/>
      <c r="G221" s="7" t="n"/>
      <c r="H221" s="7" t="n"/>
      <c r="I221" s="7" t="n"/>
      <c r="J221" s="7" t="n"/>
    </row>
    <row r="222" ht="25.5" customHeight="1">
      <c r="A222" s="8" t="n"/>
      <c r="B222" s="6" t="inlineStr">
        <is>
          <t>SOR 2025-26</t>
        </is>
      </c>
      <c r="C222" s="6" t="n"/>
      <c r="D222" s="9" t="inlineStr">
        <is>
          <t>a) Material</t>
        </is>
      </c>
      <c r="E222" s="10" t="inlineStr">
        <is>
          <t>Qty</t>
        </is>
      </c>
      <c r="F222" s="6" t="inlineStr">
        <is>
          <t>Unit</t>
        </is>
      </c>
      <c r="G222" s="11" t="inlineStr">
        <is>
          <t>Qty</t>
        </is>
      </c>
      <c r="H222" s="6" t="inlineStr">
        <is>
          <t>Unit</t>
        </is>
      </c>
      <c r="I222" s="10" t="inlineStr">
        <is>
          <t>Rate per item</t>
        </is>
      </c>
      <c r="J222" s="12" t="inlineStr">
        <is>
          <t>Amount</t>
        </is>
      </c>
    </row>
    <row r="223" ht="25.5" customHeight="1">
      <c r="A223" s="8" t="n"/>
      <c r="B223" s="26" t="inlineStr">
        <is>
          <t>ELEC-1.9.2k</t>
        </is>
      </c>
      <c r="C223" s="6" t="n">
        <v>1</v>
      </c>
      <c r="D223" s="9" t="inlineStr">
        <is>
          <t>Supply of 20A 2 Module Modular Socket with shutter.Makes ::  Legrand Lyncus / GM Four Five / Goldmedal Curve / Million Milltech / Anchor Roma Plus</t>
        </is>
      </c>
      <c r="E223" s="14" t="n">
        <v>1</v>
      </c>
      <c r="F223" s="14" t="inlineStr">
        <is>
          <t>each</t>
        </is>
      </c>
      <c r="G223" s="14" t="n">
        <v>1</v>
      </c>
      <c r="H223" s="14" t="inlineStr">
        <is>
          <t>each</t>
        </is>
      </c>
      <c r="I223" s="14" t="n">
        <v>189</v>
      </c>
      <c r="J223" s="12">
        <f>I223*E223</f>
        <v/>
      </c>
    </row>
    <row r="224">
      <c r="A224" s="6" t="n"/>
      <c r="B224" s="6" t="n"/>
      <c r="C224" s="6" t="n"/>
      <c r="D224" s="9" t="inlineStr">
        <is>
          <t>Cost of materials per each</t>
        </is>
      </c>
      <c r="E224" s="10" t="n"/>
      <c r="F224" s="6" t="n"/>
      <c r="G224" s="6" t="n"/>
      <c r="H224" s="6" t="n"/>
      <c r="I224" s="10" t="n"/>
      <c r="J224" s="10">
        <f>J223</f>
        <v/>
      </c>
    </row>
    <row r="225">
      <c r="A225" s="6" t="n"/>
      <c r="B225" s="5" t="n"/>
      <c r="C225" s="6" t="n"/>
      <c r="D225" s="16" t="inlineStr">
        <is>
          <t>Add OH@10.615%</t>
        </is>
      </c>
      <c r="E225" s="17" t="n"/>
      <c r="F225" s="5" t="n"/>
      <c r="G225" s="5" t="n"/>
      <c r="H225" s="5" t="n"/>
      <c r="I225" s="17" t="n"/>
      <c r="J225" s="17">
        <f>10.615%*J224</f>
        <v/>
      </c>
    </row>
    <row r="226">
      <c r="A226" s="6" t="n"/>
      <c r="B226" s="5" t="n"/>
      <c r="C226" s="6" t="n"/>
      <c r="D226" s="16" t="inlineStr">
        <is>
          <t>Total</t>
        </is>
      </c>
      <c r="E226" s="17" t="n"/>
      <c r="F226" s="5" t="n"/>
      <c r="G226" s="5" t="n"/>
      <c r="H226" s="5" t="n"/>
      <c r="I226" s="17" t="n"/>
      <c r="J226" s="17">
        <f>J224+J225</f>
        <v/>
      </c>
    </row>
    <row r="227">
      <c r="A227" s="19" t="n"/>
      <c r="B227" s="20" t="n"/>
      <c r="C227" s="19" t="n"/>
      <c r="D227" s="19" t="n"/>
      <c r="E227" s="19" t="n"/>
      <c r="F227" s="19" t="n"/>
      <c r="G227" s="19" t="n"/>
      <c r="H227" s="19" t="n"/>
      <c r="I227" s="19" t="inlineStr">
        <is>
          <t>Or Say</t>
        </is>
      </c>
      <c r="J227" s="21">
        <f>ROUND(J226,0)</f>
        <v/>
      </c>
    </row>
    <row r="228">
      <c r="A228" s="1" t="n"/>
      <c r="B228" s="1" t="n"/>
      <c r="C228" s="1" t="n"/>
      <c r="D228" s="2" t="inlineStr">
        <is>
          <t>Electronic Fan Regulator</t>
        </is>
      </c>
      <c r="E228" s="1" t="n"/>
      <c r="F228" s="1" t="n"/>
      <c r="G228" s="1" t="n"/>
      <c r="H228" s="1" t="n"/>
      <c r="I228" s="1" t="n"/>
      <c r="J228" s="1" t="n"/>
    </row>
    <row r="229">
      <c r="A229" s="3" t="n"/>
      <c r="B229" s="3" t="n"/>
      <c r="C229" s="3" t="n"/>
      <c r="D229" s="4" t="inlineStr">
        <is>
          <t xml:space="preserve">Data </t>
        </is>
      </c>
      <c r="E229" s="3" t="n"/>
      <c r="F229" s="3" t="n"/>
      <c r="G229" s="3" t="n"/>
      <c r="H229" s="3" t="n"/>
      <c r="I229" s="3" t="n"/>
      <c r="J229" s="3" t="n"/>
    </row>
    <row r="230" ht="38.25" customHeight="1">
      <c r="A230" s="5" t="n"/>
      <c r="B230" s="6" t="n"/>
      <c r="C230" s="5" t="n"/>
      <c r="D230" s="7" t="inlineStr">
        <is>
          <t>Replacement of u/s with new Supply of 2 Module Modular type  Electronic Fan Regulator. Makes ::   Legrand Lyncus / GM Four Five / Goldmedal Curve / Million Milltech / Anchor Roma Plus</t>
        </is>
      </c>
      <c r="E230" s="7" t="n"/>
      <c r="F230" s="7" t="n"/>
      <c r="G230" s="7" t="n"/>
      <c r="H230" s="7" t="n"/>
      <c r="I230" s="7" t="n"/>
      <c r="J230" s="7" t="n"/>
    </row>
    <row r="231" ht="25.5" customHeight="1">
      <c r="A231" s="8" t="n"/>
      <c r="B231" s="6" t="inlineStr">
        <is>
          <t>SOR 2025-26</t>
        </is>
      </c>
      <c r="C231" s="6" t="n"/>
      <c r="D231" s="9" t="inlineStr">
        <is>
          <t>a) Material</t>
        </is>
      </c>
      <c r="E231" s="10" t="inlineStr">
        <is>
          <t>Qty</t>
        </is>
      </c>
      <c r="F231" s="6" t="inlineStr">
        <is>
          <t>Unit</t>
        </is>
      </c>
      <c r="G231" s="11" t="inlineStr">
        <is>
          <t>Qty</t>
        </is>
      </c>
      <c r="H231" s="6" t="inlineStr">
        <is>
          <t>Unit</t>
        </is>
      </c>
      <c r="I231" s="10" t="inlineStr">
        <is>
          <t>Rate per item</t>
        </is>
      </c>
      <c r="J231" s="12" t="inlineStr">
        <is>
          <t>Amount</t>
        </is>
      </c>
    </row>
    <row r="232" ht="25.5" customHeight="1">
      <c r="A232" s="8" t="n"/>
      <c r="B232" s="26" t="inlineStr">
        <is>
          <t>ELEC-1.9.2n</t>
        </is>
      </c>
      <c r="C232" s="6" t="n">
        <v>1</v>
      </c>
      <c r="D232" s="9" t="inlineStr">
        <is>
          <t>Supply of 2 Module Modular type  Electronic Fan Regulator. Makes ::   Legrand Lyncus / GM Four Five / Goldmedal Curve / Million Milltech / Anchor Roma Plus</t>
        </is>
      </c>
      <c r="E232" s="14" t="n">
        <v>1</v>
      </c>
      <c r="F232" s="14" t="inlineStr">
        <is>
          <t>each</t>
        </is>
      </c>
      <c r="G232" s="14" t="n">
        <v>1</v>
      </c>
      <c r="H232" s="14" t="inlineStr">
        <is>
          <t>each</t>
        </is>
      </c>
      <c r="I232" s="14" t="n">
        <v>525</v>
      </c>
      <c r="J232" s="12">
        <f>I232*E232</f>
        <v/>
      </c>
    </row>
    <row r="233">
      <c r="A233" s="6" t="n"/>
      <c r="B233" s="6" t="n"/>
      <c r="C233" s="6" t="n"/>
      <c r="D233" s="9" t="inlineStr">
        <is>
          <t>Cost of materials per each</t>
        </is>
      </c>
      <c r="E233" s="10" t="n"/>
      <c r="F233" s="6" t="n"/>
      <c r="G233" s="6" t="n"/>
      <c r="H233" s="6" t="n"/>
      <c r="I233" s="10" t="n"/>
      <c r="J233" s="10">
        <f>J232</f>
        <v/>
      </c>
    </row>
    <row r="234">
      <c r="A234" s="6" t="n"/>
      <c r="B234" s="5" t="n"/>
      <c r="C234" s="6" t="n"/>
      <c r="D234" s="16" t="inlineStr">
        <is>
          <t>Add OH@10.615%</t>
        </is>
      </c>
      <c r="E234" s="17" t="n"/>
      <c r="F234" s="5" t="n"/>
      <c r="G234" s="5" t="n"/>
      <c r="H234" s="5" t="n"/>
      <c r="I234" s="17" t="n"/>
      <c r="J234" s="17">
        <f>10.615%*J233</f>
        <v/>
      </c>
    </row>
    <row r="235">
      <c r="A235" s="6" t="n"/>
      <c r="B235" s="5" t="n"/>
      <c r="C235" s="6" t="n"/>
      <c r="D235" s="16" t="inlineStr">
        <is>
          <t>Total</t>
        </is>
      </c>
      <c r="E235" s="17" t="n"/>
      <c r="F235" s="5" t="n"/>
      <c r="G235" s="5" t="n"/>
      <c r="H235" s="5" t="n"/>
      <c r="I235" s="17" t="n"/>
      <c r="J235" s="17">
        <f>J233+J234</f>
        <v/>
      </c>
    </row>
    <row r="236">
      <c r="A236" s="19" t="n"/>
      <c r="B236" s="20" t="n"/>
      <c r="C236" s="19" t="n"/>
      <c r="D236" s="19" t="n"/>
      <c r="E236" s="19" t="n"/>
      <c r="F236" s="19" t="n"/>
      <c r="G236" s="19" t="n"/>
      <c r="H236" s="19" t="n"/>
      <c r="I236" s="19" t="inlineStr">
        <is>
          <t>Or Say</t>
        </is>
      </c>
      <c r="J236" s="21">
        <f>ROUND(J235,0)</f>
        <v/>
      </c>
    </row>
    <row r="237">
      <c r="A237" s="6" t="n"/>
      <c r="B237" s="5" t="n"/>
      <c r="C237" s="6" t="n"/>
      <c r="D237" s="16" t="n"/>
      <c r="E237" s="17" t="n"/>
      <c r="F237" s="5" t="n"/>
      <c r="G237" s="5" t="n"/>
      <c r="H237" s="5" t="n"/>
      <c r="I237" s="17" t="n"/>
      <c r="J237" s="17" t="n"/>
    </row>
    <row r="238">
      <c r="A238" s="1" t="n"/>
      <c r="B238" s="1" t="n"/>
      <c r="C238" s="1" t="n"/>
      <c r="D238" s="2" t="inlineStr">
        <is>
          <t>6A 1 Way flush type Swich</t>
        </is>
      </c>
      <c r="E238" s="1" t="n"/>
      <c r="F238" s="1" t="n"/>
      <c r="G238" s="1" t="n"/>
      <c r="H238" s="1" t="n"/>
      <c r="I238" s="1" t="n"/>
      <c r="J238" s="1" t="n"/>
    </row>
    <row r="239">
      <c r="A239" s="3" t="n"/>
      <c r="B239" s="3" t="n"/>
      <c r="C239" s="3" t="n"/>
      <c r="D239" s="4" t="inlineStr">
        <is>
          <t xml:space="preserve">Data </t>
        </is>
      </c>
      <c r="E239" s="3" t="n"/>
      <c r="F239" s="3" t="n"/>
      <c r="G239" s="3" t="n"/>
      <c r="H239" s="3" t="n"/>
      <c r="I239" s="3" t="n"/>
      <c r="J239" s="3" t="n"/>
    </row>
    <row r="240" ht="38.25" customHeight="1">
      <c r="A240" s="5" t="n"/>
      <c r="B240" s="6" t="n"/>
      <c r="C240" s="5" t="n"/>
      <c r="D240" s="7" t="inlineStr">
        <is>
          <t xml:space="preserve">Replacement of u/s with new Supply of 6A 1 Way flush type Swich of Makes : GM G Home / Gold Medal Olive / Million Zoom / Anchor Penta Cherry / Great white Omega / HPL / Vimal / CPL. </t>
        </is>
      </c>
      <c r="E240" s="7" t="n"/>
      <c r="F240" s="7" t="n"/>
      <c r="G240" s="7" t="n"/>
      <c r="H240" s="7" t="n"/>
      <c r="I240" s="7" t="n"/>
      <c r="J240" s="7" t="n"/>
    </row>
    <row r="241" ht="25.5" customHeight="1">
      <c r="A241" s="8" t="n"/>
      <c r="B241" s="6" t="inlineStr">
        <is>
          <t>SOR 2025-26</t>
        </is>
      </c>
      <c r="C241" s="6" t="n"/>
      <c r="D241" s="9" t="inlineStr">
        <is>
          <t>a) Material</t>
        </is>
      </c>
      <c r="E241" s="10" t="inlineStr">
        <is>
          <t>Qty</t>
        </is>
      </c>
      <c r="F241" s="6" t="inlineStr">
        <is>
          <t>Unit</t>
        </is>
      </c>
      <c r="G241" s="11" t="inlineStr">
        <is>
          <t>Qty</t>
        </is>
      </c>
      <c r="H241" s="6" t="inlineStr">
        <is>
          <t>Unit</t>
        </is>
      </c>
      <c r="I241" s="10" t="inlineStr">
        <is>
          <t>Rate per item</t>
        </is>
      </c>
      <c r="J241" s="12" t="inlineStr">
        <is>
          <t>Amount</t>
        </is>
      </c>
    </row>
    <row r="242" ht="25.5" customHeight="1">
      <c r="A242" s="8" t="n"/>
      <c r="B242" s="26" t="inlineStr">
        <is>
          <t>ELEC-1.7.1- a</t>
        </is>
      </c>
      <c r="C242" s="6" t="n">
        <v>1</v>
      </c>
      <c r="D242" s="9" t="inlineStr">
        <is>
          <t xml:space="preserve">Supply of 6A 1 Way flush type Swich of Makes : GM G Home / Gold Medal Olive / Million Zoom / Anchor Penta Cherry / Great white Omega / HPL / Vimal / CPL. </t>
        </is>
      </c>
      <c r="E242" s="14" t="n">
        <v>1</v>
      </c>
      <c r="F242" s="14" t="inlineStr">
        <is>
          <t>each</t>
        </is>
      </c>
      <c r="G242" s="14" t="n">
        <v>1</v>
      </c>
      <c r="H242" s="14" t="inlineStr">
        <is>
          <t>each</t>
        </is>
      </c>
      <c r="I242" s="14" t="n">
        <v>20</v>
      </c>
      <c r="J242" s="12">
        <f>I242*E242</f>
        <v/>
      </c>
    </row>
    <row r="243">
      <c r="A243" s="6" t="n"/>
      <c r="B243" s="6" t="n"/>
      <c r="C243" s="6" t="n"/>
      <c r="D243" s="9" t="inlineStr">
        <is>
          <t>Cost of materials per each</t>
        </is>
      </c>
      <c r="E243" s="10" t="n"/>
      <c r="F243" s="6" t="n"/>
      <c r="G243" s="6" t="n"/>
      <c r="H243" s="6" t="n"/>
      <c r="I243" s="10" t="n"/>
      <c r="J243" s="10">
        <f>J242</f>
        <v/>
      </c>
    </row>
    <row r="244">
      <c r="A244" s="6" t="n"/>
      <c r="B244" s="5" t="n"/>
      <c r="C244" s="6" t="n"/>
      <c r="D244" s="16" t="inlineStr">
        <is>
          <t>Add OH@10.615%</t>
        </is>
      </c>
      <c r="E244" s="17" t="n"/>
      <c r="F244" s="5" t="n"/>
      <c r="G244" s="5" t="n"/>
      <c r="H244" s="5" t="n"/>
      <c r="I244" s="17" t="n"/>
      <c r="J244" s="17">
        <f>10.615%*J243</f>
        <v/>
      </c>
    </row>
    <row r="245">
      <c r="A245" s="6" t="n"/>
      <c r="B245" s="5" t="n"/>
      <c r="C245" s="6" t="n"/>
      <c r="D245" s="16" t="inlineStr">
        <is>
          <t>Total</t>
        </is>
      </c>
      <c r="E245" s="17" t="n"/>
      <c r="F245" s="5" t="n"/>
      <c r="G245" s="5" t="n"/>
      <c r="H245" s="5" t="n"/>
      <c r="I245" s="17" t="n"/>
      <c r="J245" s="17">
        <f>J243+J244</f>
        <v/>
      </c>
    </row>
    <row r="246">
      <c r="A246" s="19" t="n"/>
      <c r="B246" s="20" t="n"/>
      <c r="C246" s="19" t="n"/>
      <c r="D246" s="19" t="n"/>
      <c r="E246" s="19" t="n"/>
      <c r="F246" s="19" t="n"/>
      <c r="G246" s="19" t="n"/>
      <c r="H246" s="19" t="n"/>
      <c r="I246" s="19" t="inlineStr">
        <is>
          <t>Or Say</t>
        </is>
      </c>
      <c r="J246" s="21">
        <f>ROUND(J245,0)</f>
        <v/>
      </c>
    </row>
    <row r="247">
      <c r="A247" s="1" t="n"/>
      <c r="B247" s="1" t="n"/>
      <c r="C247" s="1" t="n"/>
      <c r="D247" s="2" t="inlineStr">
        <is>
          <t>6A 3/2 pin flush type Socket</t>
        </is>
      </c>
      <c r="E247" s="1" t="n"/>
      <c r="F247" s="1" t="n"/>
      <c r="G247" s="1" t="n"/>
      <c r="H247" s="1" t="n"/>
      <c r="I247" s="1" t="n"/>
      <c r="J247" s="1" t="n"/>
    </row>
    <row r="248">
      <c r="A248" s="3" t="n"/>
      <c r="B248" s="3" t="n"/>
      <c r="C248" s="3" t="n"/>
      <c r="D248" s="4" t="inlineStr">
        <is>
          <t xml:space="preserve">Data </t>
        </is>
      </c>
      <c r="E248" s="3" t="n"/>
      <c r="F248" s="3" t="n"/>
      <c r="G248" s="3" t="n"/>
      <c r="H248" s="3" t="n"/>
      <c r="I248" s="3" t="n"/>
      <c r="J248" s="3" t="n"/>
    </row>
    <row r="249" ht="38.25" customHeight="1">
      <c r="A249" s="5" t="n"/>
      <c r="B249" s="6" t="n"/>
      <c r="C249" s="5" t="n"/>
      <c r="D249" s="7" t="inlineStr">
        <is>
          <t xml:space="preserve">Replacement of u/s with new Supply of 6A 3/2 pin flush type Socket with shutter of Makes : GM G Home / Gold Medal Olive / Million Zoom / Anchor Penta Cherry / Great white Omega / HPL / Vimal / CPL. </t>
        </is>
      </c>
      <c r="E249" s="7" t="n"/>
      <c r="F249" s="7" t="n"/>
      <c r="G249" s="7" t="n"/>
      <c r="H249" s="7" t="n"/>
      <c r="I249" s="7" t="n"/>
      <c r="J249" s="7" t="n"/>
    </row>
    <row r="250" ht="25.5" customHeight="1">
      <c r="A250" s="8" t="n"/>
      <c r="B250" s="6" t="inlineStr">
        <is>
          <t>SOR 2025-26</t>
        </is>
      </c>
      <c r="C250" s="6" t="n"/>
      <c r="D250" s="9" t="inlineStr">
        <is>
          <t>a) Material</t>
        </is>
      </c>
      <c r="E250" s="10" t="inlineStr">
        <is>
          <t>Qty</t>
        </is>
      </c>
      <c r="F250" s="6" t="inlineStr">
        <is>
          <t>Unit</t>
        </is>
      </c>
      <c r="G250" s="11" t="inlineStr">
        <is>
          <t>Qty</t>
        </is>
      </c>
      <c r="H250" s="6" t="inlineStr">
        <is>
          <t>Unit</t>
        </is>
      </c>
      <c r="I250" s="10" t="inlineStr">
        <is>
          <t>Rate per item</t>
        </is>
      </c>
      <c r="J250" s="12" t="inlineStr">
        <is>
          <t>Amount</t>
        </is>
      </c>
    </row>
    <row r="251" ht="38.25" customHeight="1">
      <c r="A251" s="8" t="n"/>
      <c r="B251" s="26" t="inlineStr">
        <is>
          <t>ELEC-1.7.1- d</t>
        </is>
      </c>
      <c r="C251" s="6" t="n">
        <v>1</v>
      </c>
      <c r="D251" s="9" t="inlineStr">
        <is>
          <t xml:space="preserve"> Supply of 6A 3/2 pin flush type Socket with shutter of Makes : GM G Home / Gold Medal Olive / Million Zoom / Anchor Penta Cherry / Great white Omega / HPL / Vimal / CPL. </t>
        </is>
      </c>
      <c r="E251" s="14" t="n">
        <v>1</v>
      </c>
      <c r="F251" s="14" t="inlineStr">
        <is>
          <t>each</t>
        </is>
      </c>
      <c r="G251" s="14" t="n">
        <v>1</v>
      </c>
      <c r="H251" s="14" t="inlineStr">
        <is>
          <t>each</t>
        </is>
      </c>
      <c r="I251" s="14" t="n">
        <v>29</v>
      </c>
      <c r="J251" s="12">
        <f>I251*E251</f>
        <v/>
      </c>
    </row>
    <row r="252">
      <c r="A252" s="6" t="n"/>
      <c r="B252" s="6" t="n"/>
      <c r="C252" s="6" t="n"/>
      <c r="D252" s="9" t="inlineStr">
        <is>
          <t>Cost of materials per each</t>
        </is>
      </c>
      <c r="E252" s="10" t="n"/>
      <c r="F252" s="6" t="n"/>
      <c r="G252" s="6" t="n"/>
      <c r="H252" s="6" t="n"/>
      <c r="I252" s="10" t="n"/>
      <c r="J252" s="10">
        <f>J251</f>
        <v/>
      </c>
    </row>
    <row r="253">
      <c r="A253" s="6" t="n"/>
      <c r="B253" s="5" t="n"/>
      <c r="C253" s="6" t="n"/>
      <c r="D253" s="16" t="inlineStr">
        <is>
          <t>Add OH@10.615%</t>
        </is>
      </c>
      <c r="E253" s="17" t="n"/>
      <c r="F253" s="5" t="n"/>
      <c r="G253" s="5" t="n"/>
      <c r="H253" s="5" t="n"/>
      <c r="I253" s="17" t="n"/>
      <c r="J253" s="17">
        <f>10.615%*J252</f>
        <v/>
      </c>
    </row>
    <row r="254">
      <c r="A254" s="6" t="n"/>
      <c r="B254" s="5" t="n"/>
      <c r="C254" s="6" t="n"/>
      <c r="D254" s="16" t="inlineStr">
        <is>
          <t>Total</t>
        </is>
      </c>
      <c r="E254" s="17" t="n"/>
      <c r="F254" s="5" t="n"/>
      <c r="G254" s="5" t="n"/>
      <c r="H254" s="5" t="n"/>
      <c r="I254" s="17" t="n"/>
      <c r="J254" s="17">
        <f>J252+J253</f>
        <v/>
      </c>
    </row>
    <row r="255">
      <c r="A255" s="19" t="n"/>
      <c r="B255" s="20" t="n"/>
      <c r="C255" s="19" t="n"/>
      <c r="D255" s="19" t="n"/>
      <c r="E255" s="19" t="n"/>
      <c r="F255" s="19" t="n"/>
      <c r="G255" s="19" t="n"/>
      <c r="H255" s="19" t="n"/>
      <c r="I255" s="19" t="inlineStr">
        <is>
          <t>Or Say</t>
        </is>
      </c>
      <c r="J255" s="21">
        <f>ROUND(J254,0)</f>
        <v/>
      </c>
    </row>
    <row r="256">
      <c r="A256" s="1" t="n"/>
      <c r="B256" s="1" t="n"/>
      <c r="C256" s="1" t="n"/>
      <c r="D256" s="2" t="inlineStr">
        <is>
          <t xml:space="preserve"> 6A 1 Way flush type Bed Switch / Bell Push</t>
        </is>
      </c>
      <c r="E256" s="1" t="n"/>
      <c r="F256" s="1" t="n"/>
      <c r="G256" s="1" t="n"/>
      <c r="H256" s="1" t="n"/>
      <c r="I256" s="1" t="n"/>
      <c r="J256" s="1" t="n"/>
    </row>
    <row r="257">
      <c r="A257" s="3" t="n"/>
      <c r="B257" s="3" t="n"/>
      <c r="C257" s="3" t="n"/>
      <c r="D257" s="4" t="inlineStr">
        <is>
          <t xml:space="preserve">Data </t>
        </is>
      </c>
      <c r="E257" s="3" t="n"/>
      <c r="F257" s="3" t="n"/>
      <c r="G257" s="3" t="n"/>
      <c r="H257" s="3" t="n"/>
      <c r="I257" s="3" t="n"/>
      <c r="J257" s="3" t="n"/>
    </row>
    <row r="258" ht="38.25" customHeight="1">
      <c r="A258" s="5" t="n"/>
      <c r="B258" s="6" t="n"/>
      <c r="C258" s="5" t="n"/>
      <c r="D258" s="7" t="inlineStr">
        <is>
          <t xml:space="preserve">Replacement of u/s with new Supply of 6A 1 Way flush type Bed Switch / Bell Push of Makes : GM G Home / Gold Medal Olive / Million Zoom / Anchor Penta Cherry / Great white Omega / HPL / Vimal / CPL. </t>
        </is>
      </c>
      <c r="E258" s="7" t="n"/>
      <c r="F258" s="7" t="n"/>
      <c r="G258" s="7" t="n"/>
      <c r="H258" s="7" t="n"/>
      <c r="I258" s="7" t="n"/>
      <c r="J258" s="7" t="n"/>
    </row>
    <row r="259" ht="25.5" customHeight="1">
      <c r="A259" s="8" t="n"/>
      <c r="B259" s="6" t="inlineStr">
        <is>
          <t>SOR 2025-26</t>
        </is>
      </c>
      <c r="C259" s="6" t="n"/>
      <c r="D259" s="9" t="inlineStr">
        <is>
          <t>a) Material</t>
        </is>
      </c>
      <c r="E259" s="10" t="inlineStr">
        <is>
          <t>Qty</t>
        </is>
      </c>
      <c r="F259" s="6" t="inlineStr">
        <is>
          <t>Unit</t>
        </is>
      </c>
      <c r="G259" s="11" t="inlineStr">
        <is>
          <t>Qty</t>
        </is>
      </c>
      <c r="H259" s="6" t="inlineStr">
        <is>
          <t>Unit</t>
        </is>
      </c>
      <c r="I259" s="10" t="inlineStr">
        <is>
          <t>Rate per item</t>
        </is>
      </c>
      <c r="J259" s="12" t="inlineStr">
        <is>
          <t>Amount</t>
        </is>
      </c>
    </row>
    <row r="260" ht="38.25" customHeight="1">
      <c r="A260" s="8" t="n"/>
      <c r="B260" s="26" t="inlineStr">
        <is>
          <t>ELEC-1.7.1- g</t>
        </is>
      </c>
      <c r="C260" s="6" t="n">
        <v>1</v>
      </c>
      <c r="D260" s="9" t="inlineStr">
        <is>
          <t xml:space="preserve"> Supply of 6A 1 Way flush type Bed Swich / Bell Push of Makes : GM G Home / Gold Medal Olive / Million Zoom / Anchor Penta Cherry / Great white Omega / HPL / Vimal / CPL. </t>
        </is>
      </c>
      <c r="E260" s="14" t="n">
        <v>1</v>
      </c>
      <c r="F260" s="14" t="inlineStr">
        <is>
          <t>each</t>
        </is>
      </c>
      <c r="G260" s="14" t="n">
        <v>1</v>
      </c>
      <c r="H260" s="14" t="inlineStr">
        <is>
          <t>each</t>
        </is>
      </c>
      <c r="I260" s="14" t="n">
        <v>23</v>
      </c>
      <c r="J260" s="12">
        <f>I260*E260</f>
        <v/>
      </c>
    </row>
    <row r="261">
      <c r="A261" s="6" t="n"/>
      <c r="B261" s="6" t="n"/>
      <c r="C261" s="6" t="n"/>
      <c r="D261" s="9" t="inlineStr">
        <is>
          <t>Cost of materials per each</t>
        </is>
      </c>
      <c r="E261" s="10" t="n"/>
      <c r="F261" s="6" t="n"/>
      <c r="G261" s="6" t="n"/>
      <c r="H261" s="6" t="n"/>
      <c r="I261" s="10" t="n"/>
      <c r="J261" s="10">
        <f>J260</f>
        <v/>
      </c>
    </row>
    <row r="262">
      <c r="A262" s="6" t="n"/>
      <c r="B262" s="5" t="n"/>
      <c r="C262" s="6" t="n"/>
      <c r="D262" s="16" t="inlineStr">
        <is>
          <t>Add OH@10.615%</t>
        </is>
      </c>
      <c r="E262" s="17" t="n"/>
      <c r="F262" s="5" t="n"/>
      <c r="G262" s="5" t="n"/>
      <c r="H262" s="5" t="n"/>
      <c r="I262" s="17" t="n"/>
      <c r="J262" s="17">
        <f>10.615%*J261</f>
        <v/>
      </c>
    </row>
    <row r="263">
      <c r="A263" s="6" t="n"/>
      <c r="B263" s="5" t="n"/>
      <c r="C263" s="6" t="n"/>
      <c r="D263" s="16" t="inlineStr">
        <is>
          <t>Total</t>
        </is>
      </c>
      <c r="E263" s="17" t="n"/>
      <c r="F263" s="5" t="n"/>
      <c r="G263" s="5" t="n"/>
      <c r="H263" s="5" t="n"/>
      <c r="I263" s="17" t="n"/>
      <c r="J263" s="17">
        <f>J261+J262</f>
        <v/>
      </c>
    </row>
    <row r="264">
      <c r="A264" s="19" t="n"/>
      <c r="B264" s="20" t="n"/>
      <c r="C264" s="19" t="n"/>
      <c r="D264" s="19" t="n"/>
      <c r="E264" s="19" t="n"/>
      <c r="F264" s="19" t="n"/>
      <c r="G264" s="19" t="n"/>
      <c r="H264" s="19" t="n"/>
      <c r="I264" s="19" t="inlineStr">
        <is>
          <t>Or Say</t>
        </is>
      </c>
      <c r="J264" s="21">
        <f>ROUND(J263,0)</f>
        <v/>
      </c>
    </row>
    <row r="265">
      <c r="A265" s="1" t="n"/>
      <c r="B265" s="1" t="n"/>
      <c r="C265" s="1" t="n"/>
      <c r="D265" s="2" t="inlineStr">
        <is>
          <t>16A flush type Swich</t>
        </is>
      </c>
      <c r="E265" s="1" t="n"/>
      <c r="F265" s="1" t="n"/>
      <c r="G265" s="1" t="n"/>
      <c r="H265" s="1" t="n"/>
      <c r="I265" s="1" t="n"/>
      <c r="J265" s="1" t="n"/>
    </row>
    <row r="266">
      <c r="A266" s="3" t="n"/>
      <c r="B266" s="3" t="n"/>
      <c r="C266" s="3" t="n"/>
      <c r="D266" s="4" t="inlineStr">
        <is>
          <t xml:space="preserve">Data </t>
        </is>
      </c>
      <c r="E266" s="3" t="n"/>
      <c r="F266" s="3" t="n"/>
      <c r="G266" s="3" t="n"/>
      <c r="H266" s="3" t="n"/>
      <c r="I266" s="3" t="n"/>
      <c r="J266" s="3" t="n"/>
    </row>
    <row r="267" ht="38.25" customHeight="1">
      <c r="A267" s="5" t="n"/>
      <c r="B267" s="6" t="n"/>
      <c r="C267" s="5" t="n"/>
      <c r="D267" s="7" t="inlineStr">
        <is>
          <t xml:space="preserve">Replacement of u/s with new Supply of 16A flush type Swich of Makes : GM G Home / Gold Medal Olive / Million Zoom / Anchor Penta Cherry / Great white Omega / HPL / Vimal / CPL. </t>
        </is>
      </c>
      <c r="E267" s="7" t="n"/>
      <c r="F267" s="7" t="n"/>
      <c r="G267" s="7" t="n"/>
      <c r="H267" s="7" t="n"/>
      <c r="I267" s="7" t="n"/>
      <c r="J267" s="7" t="n"/>
    </row>
    <row r="268" ht="25.5" customHeight="1">
      <c r="A268" s="8" t="n"/>
      <c r="B268" s="6" t="inlineStr">
        <is>
          <t>SOR 2025-26</t>
        </is>
      </c>
      <c r="C268" s="6" t="n"/>
      <c r="D268" s="9" t="inlineStr">
        <is>
          <t>a) Material</t>
        </is>
      </c>
      <c r="E268" s="10" t="inlineStr">
        <is>
          <t>Qty</t>
        </is>
      </c>
      <c r="F268" s="6" t="inlineStr">
        <is>
          <t>Unit</t>
        </is>
      </c>
      <c r="G268" s="11" t="inlineStr">
        <is>
          <t>Qty</t>
        </is>
      </c>
      <c r="H268" s="6" t="inlineStr">
        <is>
          <t>Unit</t>
        </is>
      </c>
      <c r="I268" s="10" t="inlineStr">
        <is>
          <t>Rate per item</t>
        </is>
      </c>
      <c r="J268" s="12" t="inlineStr">
        <is>
          <t>Amount</t>
        </is>
      </c>
    </row>
    <row r="269" ht="25.5" customHeight="1">
      <c r="A269" s="8" t="n"/>
      <c r="B269" s="26" t="inlineStr">
        <is>
          <t>ELEC-1.7.1- h</t>
        </is>
      </c>
      <c r="C269" s="6" t="n">
        <v>1</v>
      </c>
      <c r="D269" s="9" t="inlineStr">
        <is>
          <t xml:space="preserve">Supply of 16A flush type Swich of Makes : GM G Home / Gold Medal Olive / Million Zoom / Anchor Penta Cherry / Great white Omega / HPL / Vimal / CPL. </t>
        </is>
      </c>
      <c r="E269" s="14" t="n">
        <v>1</v>
      </c>
      <c r="F269" s="14" t="inlineStr">
        <is>
          <t>each</t>
        </is>
      </c>
      <c r="G269" s="14" t="n">
        <v>1</v>
      </c>
      <c r="H269" s="14" t="inlineStr">
        <is>
          <t>each</t>
        </is>
      </c>
      <c r="I269" s="14" t="n">
        <v>72</v>
      </c>
      <c r="J269" s="12">
        <f>I269*E269</f>
        <v/>
      </c>
    </row>
    <row r="270">
      <c r="A270" s="6" t="n"/>
      <c r="B270" s="6" t="n"/>
      <c r="C270" s="6" t="n"/>
      <c r="D270" s="9" t="inlineStr">
        <is>
          <t>Cost of materials per each</t>
        </is>
      </c>
      <c r="E270" s="10" t="n"/>
      <c r="F270" s="6" t="n"/>
      <c r="G270" s="6" t="n"/>
      <c r="H270" s="6" t="n"/>
      <c r="I270" s="10" t="n"/>
      <c r="J270" s="10">
        <f>J269</f>
        <v/>
      </c>
    </row>
    <row r="271">
      <c r="A271" s="6" t="n"/>
      <c r="B271" s="5" t="n"/>
      <c r="C271" s="6" t="n"/>
      <c r="D271" s="16" t="inlineStr">
        <is>
          <t>Add OH@10.615%</t>
        </is>
      </c>
      <c r="E271" s="17" t="n"/>
      <c r="F271" s="5" t="n"/>
      <c r="G271" s="5" t="n"/>
      <c r="H271" s="5" t="n"/>
      <c r="I271" s="17" t="n"/>
      <c r="J271" s="17">
        <f>10.615%*J270</f>
        <v/>
      </c>
    </row>
    <row r="272">
      <c r="A272" s="6" t="n"/>
      <c r="B272" s="5" t="n"/>
      <c r="C272" s="6" t="n"/>
      <c r="D272" s="16" t="inlineStr">
        <is>
          <t>Total</t>
        </is>
      </c>
      <c r="E272" s="17" t="n"/>
      <c r="F272" s="5" t="n"/>
      <c r="G272" s="5" t="n"/>
      <c r="H272" s="5" t="n"/>
      <c r="I272" s="17" t="n"/>
      <c r="J272" s="17">
        <f>J270+J271</f>
        <v/>
      </c>
    </row>
    <row r="273">
      <c r="A273" s="19" t="n"/>
      <c r="B273" s="20" t="n"/>
      <c r="C273" s="19" t="n"/>
      <c r="D273" s="19" t="n"/>
      <c r="E273" s="19" t="n"/>
      <c r="F273" s="19" t="n"/>
      <c r="G273" s="19" t="n"/>
      <c r="H273" s="19" t="n"/>
      <c r="I273" s="19" t="inlineStr">
        <is>
          <t>Or Say</t>
        </is>
      </c>
      <c r="J273" s="21">
        <f>ROUND(J272,0)</f>
        <v/>
      </c>
    </row>
    <row r="274">
      <c r="A274" s="1" t="n"/>
      <c r="B274" s="1" t="n"/>
      <c r="C274" s="1" t="n"/>
      <c r="D274" s="2" t="inlineStr">
        <is>
          <t>16A flush type Socket</t>
        </is>
      </c>
      <c r="E274" s="1" t="n"/>
      <c r="F274" s="1" t="n"/>
      <c r="G274" s="1" t="n"/>
      <c r="H274" s="1" t="n"/>
      <c r="I274" s="1" t="n"/>
      <c r="J274" s="1" t="n"/>
    </row>
    <row r="275">
      <c r="A275" s="3" t="n"/>
      <c r="B275" s="3" t="n"/>
      <c r="C275" s="3" t="n"/>
      <c r="D275" s="4" t="inlineStr">
        <is>
          <t xml:space="preserve">Data </t>
        </is>
      </c>
      <c r="E275" s="3" t="n"/>
      <c r="F275" s="3" t="n"/>
      <c r="G275" s="3" t="n"/>
      <c r="H275" s="3" t="n"/>
      <c r="I275" s="3" t="n"/>
      <c r="J275" s="3" t="n"/>
    </row>
    <row r="276" ht="38.25" customHeight="1">
      <c r="A276" s="5" t="n"/>
      <c r="B276" s="6" t="n"/>
      <c r="C276" s="5" t="n"/>
      <c r="D276" s="7" t="inlineStr">
        <is>
          <t>Replacement of u/s with new Supply of 16A flush type Socket with shutter of Makes : GM G Home / Gold Medal Olive / Million Zoom / Anchor Penta Cherry / Great white Omega / HPL / Vimal / CPL.</t>
        </is>
      </c>
      <c r="E276" s="7" t="n"/>
      <c r="F276" s="7" t="n"/>
      <c r="G276" s="7" t="n"/>
      <c r="H276" s="7" t="n"/>
      <c r="I276" s="7" t="n"/>
      <c r="J276" s="7" t="n"/>
    </row>
    <row r="277" ht="25.5" customHeight="1">
      <c r="A277" s="8" t="n"/>
      <c r="B277" s="6" t="inlineStr">
        <is>
          <t>SOR 2025-26</t>
        </is>
      </c>
      <c r="C277" s="6" t="n"/>
      <c r="D277" s="9" t="inlineStr">
        <is>
          <t>a) Material</t>
        </is>
      </c>
      <c r="E277" s="10" t="inlineStr">
        <is>
          <t>Qty</t>
        </is>
      </c>
      <c r="F277" s="6" t="inlineStr">
        <is>
          <t>Unit</t>
        </is>
      </c>
      <c r="G277" s="11" t="inlineStr">
        <is>
          <t>Qty</t>
        </is>
      </c>
      <c r="H277" s="6" t="inlineStr">
        <is>
          <t>Unit</t>
        </is>
      </c>
      <c r="I277" s="10" t="inlineStr">
        <is>
          <t>Rate per item</t>
        </is>
      </c>
      <c r="J277" s="12" t="inlineStr">
        <is>
          <t>Amount</t>
        </is>
      </c>
    </row>
    <row r="278" ht="38.25" customHeight="1">
      <c r="A278" s="8" t="n"/>
      <c r="B278" s="22" t="inlineStr">
        <is>
          <t>ELEC-1.7.1- i</t>
        </is>
      </c>
      <c r="C278" s="6" t="n">
        <v>1</v>
      </c>
      <c r="D278" s="9" t="inlineStr">
        <is>
          <t>Supply of 16A flush type Socket with shutter of Makes : GM G Home / Gold Medal Olive / Million Zoom / Anchor Penta Cherry / Great white Omega / HPL / Vimal / CPL.</t>
        </is>
      </c>
      <c r="E278" s="14" t="n">
        <v>1</v>
      </c>
      <c r="F278" s="14" t="inlineStr">
        <is>
          <t>each</t>
        </is>
      </c>
      <c r="G278" s="14" t="n">
        <v>1</v>
      </c>
      <c r="H278" s="14" t="inlineStr">
        <is>
          <t>each</t>
        </is>
      </c>
      <c r="I278" s="14" t="n">
        <v>72</v>
      </c>
      <c r="J278" s="12">
        <f>I278*E278</f>
        <v/>
      </c>
    </row>
    <row r="279">
      <c r="A279" s="6" t="n"/>
      <c r="B279" s="6" t="n"/>
      <c r="C279" s="6" t="n"/>
      <c r="D279" s="9" t="inlineStr">
        <is>
          <t>Cost of materials per each</t>
        </is>
      </c>
      <c r="E279" s="10" t="n"/>
      <c r="F279" s="6" t="n"/>
      <c r="G279" s="6" t="n"/>
      <c r="H279" s="6" t="n"/>
      <c r="I279" s="10" t="n"/>
      <c r="J279" s="10">
        <f>J278</f>
        <v/>
      </c>
    </row>
    <row r="280">
      <c r="A280" s="6" t="n"/>
      <c r="B280" s="5" t="n"/>
      <c r="C280" s="6" t="n"/>
      <c r="D280" s="16" t="inlineStr">
        <is>
          <t>Add OH@10.615%</t>
        </is>
      </c>
      <c r="E280" s="17" t="n"/>
      <c r="F280" s="5" t="n"/>
      <c r="G280" s="5" t="n"/>
      <c r="H280" s="5" t="n"/>
      <c r="I280" s="17" t="n"/>
      <c r="J280" s="17">
        <f>10.615%*J279</f>
        <v/>
      </c>
    </row>
    <row r="281">
      <c r="A281" s="6" t="n"/>
      <c r="B281" s="5" t="n"/>
      <c r="C281" s="6" t="n"/>
      <c r="D281" s="16" t="inlineStr">
        <is>
          <t>Total</t>
        </is>
      </c>
      <c r="E281" s="17" t="n"/>
      <c r="F281" s="5" t="n"/>
      <c r="G281" s="5" t="n"/>
      <c r="H281" s="5" t="n"/>
      <c r="I281" s="17" t="n"/>
      <c r="J281" s="17">
        <f>J279+J280</f>
        <v/>
      </c>
    </row>
    <row r="282">
      <c r="A282" s="19" t="n"/>
      <c r="B282" s="20" t="n"/>
      <c r="C282" s="19" t="n"/>
      <c r="D282" s="19" t="n"/>
      <c r="E282" s="19" t="n"/>
      <c r="F282" s="19" t="n"/>
      <c r="G282" s="19" t="n"/>
      <c r="H282" s="19" t="n"/>
      <c r="I282" s="19" t="inlineStr">
        <is>
          <t>Or Say</t>
        </is>
      </c>
      <c r="J282" s="21">
        <f>ROUND(J281,0)</f>
        <v/>
      </c>
    </row>
    <row r="283">
      <c r="A283" s="1" t="n"/>
      <c r="B283" s="1" t="n"/>
      <c r="C283" s="1" t="n"/>
      <c r="D283" s="2" t="inlineStr">
        <is>
          <t xml:space="preserve"> Flush Stepped type Electronic Regulator</t>
        </is>
      </c>
      <c r="E283" s="1" t="n"/>
      <c r="F283" s="1" t="n"/>
      <c r="G283" s="1" t="n"/>
      <c r="H283" s="1" t="n"/>
      <c r="I283" s="1" t="n"/>
      <c r="J283" s="1" t="n"/>
    </row>
    <row r="284">
      <c r="A284" s="3" t="n"/>
      <c r="B284" s="3" t="n"/>
      <c r="C284" s="3" t="n"/>
      <c r="D284" s="4" t="inlineStr">
        <is>
          <t xml:space="preserve">Data </t>
        </is>
      </c>
      <c r="E284" s="3" t="n"/>
      <c r="F284" s="3" t="n"/>
      <c r="G284" s="3" t="n"/>
      <c r="H284" s="3" t="n"/>
      <c r="I284" s="3" t="n"/>
      <c r="J284" s="3" t="n"/>
    </row>
    <row r="285" ht="38.25" customHeight="1">
      <c r="A285" s="5" t="n"/>
      <c r="B285" s="6" t="n"/>
      <c r="C285" s="5" t="n"/>
      <c r="D285" s="7" t="inlineStr">
        <is>
          <t>Replacement of u/s with new Supply of Flush Stepped type Electronic Regulator of Makes : GM G Home / Gold Medal Olive / Million Zoom / Anchor Penta Cherry / Great white Omega / HPL / Vimal / CPL.</t>
        </is>
      </c>
      <c r="E285" s="7" t="n"/>
      <c r="F285" s="7" t="n"/>
      <c r="G285" s="7" t="n"/>
      <c r="H285" s="7" t="n"/>
      <c r="I285" s="7" t="n"/>
      <c r="J285" s="7" t="n"/>
    </row>
    <row r="286" ht="25.5" customHeight="1">
      <c r="A286" s="8" t="n"/>
      <c r="B286" s="6" t="inlineStr">
        <is>
          <t>SOR 2025-26</t>
        </is>
      </c>
      <c r="C286" s="6" t="n"/>
      <c r="D286" s="9" t="inlineStr">
        <is>
          <t>a) Material</t>
        </is>
      </c>
      <c r="E286" s="10" t="inlineStr">
        <is>
          <t>Qty</t>
        </is>
      </c>
      <c r="F286" s="6" t="inlineStr">
        <is>
          <t>Unit</t>
        </is>
      </c>
      <c r="G286" s="11" t="inlineStr">
        <is>
          <t>Qty</t>
        </is>
      </c>
      <c r="H286" s="6" t="inlineStr">
        <is>
          <t>Unit</t>
        </is>
      </c>
      <c r="I286" s="10" t="inlineStr">
        <is>
          <t>Rate per item</t>
        </is>
      </c>
      <c r="J286" s="12" t="inlineStr">
        <is>
          <t>Amount</t>
        </is>
      </c>
    </row>
    <row r="287" ht="38.25" customHeight="1">
      <c r="A287" s="8" t="n"/>
      <c r="B287" s="26" t="inlineStr">
        <is>
          <t>ELEC-1.7.1- l</t>
        </is>
      </c>
      <c r="C287" s="6" t="n">
        <v>1</v>
      </c>
      <c r="D287" s="9" t="inlineStr">
        <is>
          <t xml:space="preserve"> Supply of Flush Stepped type Electronic Regulator of Makes : GM G Home / Gold Medal Olive / Million Zoom / Anchor Penta Cherry / Great white Omega / HPL / Vimal / CPL.</t>
        </is>
      </c>
      <c r="E287" s="14" t="n">
        <v>1</v>
      </c>
      <c r="F287" s="14" t="inlineStr">
        <is>
          <t>each</t>
        </is>
      </c>
      <c r="G287" s="14" t="n">
        <v>1</v>
      </c>
      <c r="H287" s="14" t="inlineStr">
        <is>
          <t>each</t>
        </is>
      </c>
      <c r="I287" s="14" t="n">
        <v>242</v>
      </c>
      <c r="J287" s="12">
        <f>I287*E287</f>
        <v/>
      </c>
    </row>
    <row r="288">
      <c r="A288" s="6" t="n"/>
      <c r="B288" s="6" t="n"/>
      <c r="C288" s="6" t="n"/>
      <c r="D288" s="9" t="inlineStr">
        <is>
          <t>Cost of materials per each</t>
        </is>
      </c>
      <c r="E288" s="10" t="n"/>
      <c r="F288" s="6" t="n"/>
      <c r="G288" s="6" t="n"/>
      <c r="H288" s="6" t="n"/>
      <c r="I288" s="10" t="n"/>
      <c r="J288" s="10">
        <f>J287</f>
        <v/>
      </c>
    </row>
    <row r="289">
      <c r="A289" s="6" t="n"/>
      <c r="B289" s="5" t="n"/>
      <c r="C289" s="6" t="n"/>
      <c r="D289" s="16" t="inlineStr">
        <is>
          <t>Add OH@10.615%</t>
        </is>
      </c>
      <c r="E289" s="17" t="n"/>
      <c r="F289" s="5" t="n"/>
      <c r="G289" s="5" t="n"/>
      <c r="H289" s="5" t="n"/>
      <c r="I289" s="17" t="n"/>
      <c r="J289" s="17">
        <f>10.615%*J288</f>
        <v/>
      </c>
    </row>
    <row r="290">
      <c r="A290" s="6" t="n"/>
      <c r="B290" s="5" t="n"/>
      <c r="C290" s="6" t="n"/>
      <c r="D290" s="16" t="inlineStr">
        <is>
          <t>Total</t>
        </is>
      </c>
      <c r="E290" s="17" t="n"/>
      <c r="F290" s="5" t="n"/>
      <c r="G290" s="5" t="n"/>
      <c r="H290" s="5" t="n"/>
      <c r="I290" s="17" t="n"/>
      <c r="J290" s="17">
        <f>J288+J289</f>
        <v/>
      </c>
    </row>
    <row r="291">
      <c r="A291" s="19" t="n"/>
      <c r="B291" s="20" t="n"/>
      <c r="C291" s="19" t="n"/>
      <c r="D291" s="19" t="n"/>
      <c r="E291" s="19" t="n"/>
      <c r="F291" s="19" t="n"/>
      <c r="G291" s="19" t="n"/>
      <c r="H291" s="19" t="n"/>
      <c r="I291" s="19" t="inlineStr">
        <is>
          <t>Or Say</t>
        </is>
      </c>
      <c r="J291" s="21">
        <f>ROUND(J290,0)</f>
        <v/>
      </c>
    </row>
    <row r="292">
      <c r="A292" s="1" t="n"/>
      <c r="B292" s="1" t="n"/>
      <c r="C292" s="1" t="n"/>
      <c r="D292" s="2" t="inlineStr">
        <is>
          <t>19/20mm Casing &amp; Capping</t>
        </is>
      </c>
      <c r="E292" s="1" t="n"/>
      <c r="F292" s="1" t="n"/>
      <c r="G292" s="1" t="n"/>
      <c r="H292" s="1" t="n"/>
      <c r="I292" s="1" t="n"/>
      <c r="J292" s="1" t="n"/>
    </row>
    <row r="293">
      <c r="A293" s="3" t="n"/>
      <c r="B293" s="3" t="n"/>
      <c r="C293" s="3" t="n"/>
      <c r="D293" s="4" t="inlineStr">
        <is>
          <t xml:space="preserve">Data </t>
        </is>
      </c>
      <c r="E293" s="3" t="n"/>
      <c r="F293" s="3" t="n"/>
      <c r="G293" s="3" t="n"/>
      <c r="H293" s="3" t="n"/>
      <c r="I293" s="3" t="n"/>
      <c r="J293" s="3" t="n"/>
    </row>
    <row r="294" ht="51" customHeight="1">
      <c r="A294" s="5" t="n"/>
      <c r="B294" s="6" t="n"/>
      <c r="C294" s="5" t="n"/>
      <c r="D294" s="7" t="inlineStr">
        <is>
          <t xml:space="preserve">Replacement of u/s with new Supply of 19/20mm x 12 mm and thickness 1.2 mm width  and height Casing and Caping with all accessories such as Ts, Bends, Elbows etc., complete for finished item of work. Makes : Modi with ISI or its equivalent make as approved by the department </t>
        </is>
      </c>
      <c r="E294" s="7" t="n"/>
      <c r="F294" s="7" t="n"/>
      <c r="G294" s="7" t="n"/>
      <c r="H294" s="7" t="n"/>
      <c r="I294" s="7" t="n"/>
      <c r="J294" s="7" t="n"/>
    </row>
    <row r="295" ht="25.5" customHeight="1">
      <c r="A295" s="8" t="n"/>
      <c r="B295" s="6" t="inlineStr">
        <is>
          <t>SOR 2025-26</t>
        </is>
      </c>
      <c r="C295" s="6" t="n"/>
      <c r="D295" s="9" t="inlineStr">
        <is>
          <t>a) Material</t>
        </is>
      </c>
      <c r="E295" s="10" t="inlineStr">
        <is>
          <t>Qty</t>
        </is>
      </c>
      <c r="F295" s="6" t="inlineStr">
        <is>
          <t>Unit</t>
        </is>
      </c>
      <c r="G295" s="11" t="inlineStr">
        <is>
          <t>Qty</t>
        </is>
      </c>
      <c r="H295" s="6" t="inlineStr">
        <is>
          <t>Unit</t>
        </is>
      </c>
      <c r="I295" s="10" t="inlineStr">
        <is>
          <t>Rate per item</t>
        </is>
      </c>
      <c r="J295" s="12" t="inlineStr">
        <is>
          <t>Amount</t>
        </is>
      </c>
    </row>
    <row r="296" ht="51" customHeight="1">
      <c r="A296" s="8" t="n"/>
      <c r="B296" s="26" t="inlineStr">
        <is>
          <t>ELEC-1.2.5- a</t>
        </is>
      </c>
      <c r="C296" s="6" t="n">
        <v>1</v>
      </c>
      <c r="D296" s="9" t="inlineStr">
        <is>
          <t xml:space="preserve"> Supply of 19/20mm x 12 mm and thickness 1.2 mm width  and height Casing and Caping with all accessories such as Ts, Bends, Elbows etc., complete for finished item of work. Makes : Modi with ISI or its equivalent make as approved by the department </t>
        </is>
      </c>
      <c r="E296" s="14" t="n">
        <v>1</v>
      </c>
      <c r="F296" s="14" t="inlineStr">
        <is>
          <t>Mtr</t>
        </is>
      </c>
      <c r="G296" s="14" t="n">
        <v>1</v>
      </c>
      <c r="H296" s="14" t="inlineStr">
        <is>
          <t>Mtr</t>
        </is>
      </c>
      <c r="I296" s="14" t="n">
        <v>37</v>
      </c>
      <c r="J296" s="12">
        <f>I296*E296</f>
        <v/>
      </c>
    </row>
    <row r="297">
      <c r="A297" s="6" t="n"/>
      <c r="B297" s="6" t="n"/>
      <c r="C297" s="6" t="n"/>
      <c r="D297" s="9" t="inlineStr">
        <is>
          <t>Cost of materials per each</t>
        </is>
      </c>
      <c r="E297" s="10" t="n"/>
      <c r="F297" s="6" t="n"/>
      <c r="G297" s="6" t="n"/>
      <c r="H297" s="6" t="n"/>
      <c r="I297" s="10" t="n"/>
      <c r="J297" s="10">
        <f>J296</f>
        <v/>
      </c>
    </row>
    <row r="298">
      <c r="A298" s="6" t="n"/>
      <c r="B298" s="5" t="n"/>
      <c r="C298" s="6" t="n"/>
      <c r="D298" s="16" t="inlineStr">
        <is>
          <t>Add OH@10.615%</t>
        </is>
      </c>
      <c r="E298" s="17" t="n"/>
      <c r="F298" s="5" t="n"/>
      <c r="G298" s="5" t="n"/>
      <c r="H298" s="5" t="n"/>
      <c r="I298" s="17" t="n"/>
      <c r="J298" s="17">
        <f>10.615%*J297</f>
        <v/>
      </c>
    </row>
    <row r="299">
      <c r="A299" s="6" t="n"/>
      <c r="B299" s="5" t="n"/>
      <c r="C299" s="6" t="n"/>
      <c r="D299" s="16" t="inlineStr">
        <is>
          <t>Total</t>
        </is>
      </c>
      <c r="E299" s="17" t="n"/>
      <c r="F299" s="5" t="n"/>
      <c r="G299" s="5" t="n"/>
      <c r="H299" s="5" t="n"/>
      <c r="I299" s="17" t="n"/>
      <c r="J299" s="17">
        <f>J297+J298</f>
        <v/>
      </c>
    </row>
    <row r="300">
      <c r="A300" s="19" t="n"/>
      <c r="B300" s="20" t="n"/>
      <c r="C300" s="19" t="n"/>
      <c r="D300" s="19" t="n"/>
      <c r="E300" s="19" t="n"/>
      <c r="F300" s="19" t="n"/>
      <c r="G300" s="19" t="n"/>
      <c r="H300" s="19" t="n"/>
      <c r="I300" s="19" t="inlineStr">
        <is>
          <t>Or Say</t>
        </is>
      </c>
      <c r="J300" s="21">
        <f>ROUND(J299,0)</f>
        <v/>
      </c>
    </row>
    <row r="301">
      <c r="A301" s="1" t="n"/>
      <c r="B301" s="1" t="n"/>
      <c r="C301" s="1" t="n"/>
      <c r="D301" s="2" t="inlineStr">
        <is>
          <t>25mm x 12 mm Casing &amp; Capping</t>
        </is>
      </c>
      <c r="E301" s="1" t="n"/>
      <c r="F301" s="1" t="n"/>
      <c r="G301" s="1" t="n"/>
      <c r="H301" s="1" t="n"/>
      <c r="I301" s="1" t="n"/>
      <c r="J301" s="1" t="n"/>
    </row>
    <row r="302">
      <c r="A302" s="3" t="n"/>
      <c r="B302" s="3" t="n"/>
      <c r="C302" s="3" t="n"/>
      <c r="D302" s="4" t="inlineStr">
        <is>
          <t xml:space="preserve">Data </t>
        </is>
      </c>
      <c r="E302" s="3" t="n"/>
      <c r="F302" s="3" t="n"/>
      <c r="G302" s="3" t="n"/>
      <c r="H302" s="3" t="n"/>
      <c r="I302" s="3" t="n"/>
      <c r="J302" s="3" t="n"/>
    </row>
    <row r="303" ht="51" customHeight="1">
      <c r="A303" s="5" t="n"/>
      <c r="B303" s="6" t="n"/>
      <c r="C303" s="5" t="n"/>
      <c r="D303" s="7" t="inlineStr">
        <is>
          <t xml:space="preserve">Replacement of u/s with new Supply of 25mm x 12 mm and thickness 1.2 mmwidth  and height Casing and Caping with all accessories such as Ts, Bends, Elbows etc., complete for finished item of work. Makes : Modi with ISI or its equivalent make as approved by the department </t>
        </is>
      </c>
      <c r="E303" s="7" t="n"/>
      <c r="F303" s="7" t="n"/>
      <c r="G303" s="7" t="n"/>
      <c r="H303" s="7" t="n"/>
      <c r="I303" s="7" t="n"/>
      <c r="J303" s="7" t="n"/>
    </row>
    <row r="304" ht="25.5" customHeight="1">
      <c r="A304" s="8" t="n"/>
      <c r="B304" s="6" t="inlineStr">
        <is>
          <t>SOR 2025-26</t>
        </is>
      </c>
      <c r="C304" s="6" t="n"/>
      <c r="D304" s="9" t="inlineStr">
        <is>
          <t>a) Material</t>
        </is>
      </c>
      <c r="E304" s="10" t="inlineStr">
        <is>
          <t>Qty</t>
        </is>
      </c>
      <c r="F304" s="6" t="inlineStr">
        <is>
          <t>Unit</t>
        </is>
      </c>
      <c r="G304" s="11" t="inlineStr">
        <is>
          <t>Qty</t>
        </is>
      </c>
      <c r="H304" s="6" t="inlineStr">
        <is>
          <t>Unit</t>
        </is>
      </c>
      <c r="I304" s="10" t="inlineStr">
        <is>
          <t>Rate per item</t>
        </is>
      </c>
      <c r="J304" s="12" t="inlineStr">
        <is>
          <t>Amount</t>
        </is>
      </c>
    </row>
    <row r="305" ht="51" customHeight="1">
      <c r="A305" s="8" t="n"/>
      <c r="B305" s="22" t="inlineStr">
        <is>
          <t>ELEC-1.2.5- b</t>
        </is>
      </c>
      <c r="C305" s="6" t="n">
        <v>1</v>
      </c>
      <c r="D305" s="9" t="inlineStr">
        <is>
          <t xml:space="preserve">Supply of 25mm x 12 mm and thickness 1.2 mmwidth  and height Casing and Caping with all accessories such as Ts, Bends, Elbows etc., complete for finished item of work. Makes : Modi with ISI or its equivalent make as approved by the department </t>
        </is>
      </c>
      <c r="E305" s="14" t="n">
        <v>1</v>
      </c>
      <c r="F305" s="14" t="inlineStr">
        <is>
          <t>each</t>
        </is>
      </c>
      <c r="G305" s="14" t="n">
        <v>1</v>
      </c>
      <c r="H305" s="14" t="inlineStr">
        <is>
          <t>each</t>
        </is>
      </c>
      <c r="I305" s="14" t="n">
        <v>42</v>
      </c>
      <c r="J305" s="12">
        <f>I305*E305</f>
        <v/>
      </c>
    </row>
    <row r="306">
      <c r="A306" s="6" t="n"/>
      <c r="B306" s="6" t="n"/>
      <c r="C306" s="6" t="n"/>
      <c r="D306" s="9" t="inlineStr">
        <is>
          <t>Cost of materials per each</t>
        </is>
      </c>
      <c r="E306" s="10" t="n"/>
      <c r="F306" s="6" t="n"/>
      <c r="G306" s="6" t="n"/>
      <c r="H306" s="6" t="n"/>
      <c r="I306" s="10" t="n"/>
      <c r="J306" s="10">
        <f>J305</f>
        <v/>
      </c>
    </row>
    <row r="307">
      <c r="A307" s="6" t="n"/>
      <c r="B307" s="5" t="n"/>
      <c r="C307" s="6" t="n"/>
      <c r="D307" s="16" t="inlineStr">
        <is>
          <t>Add OH@10.615%</t>
        </is>
      </c>
      <c r="E307" s="17" t="n"/>
      <c r="F307" s="5" t="n"/>
      <c r="G307" s="5" t="n"/>
      <c r="H307" s="5" t="n"/>
      <c r="I307" s="17" t="n"/>
      <c r="J307" s="17">
        <f>10.615%*J306</f>
        <v/>
      </c>
    </row>
    <row r="308">
      <c r="A308" s="6" t="n"/>
      <c r="B308" s="5" t="n"/>
      <c r="C308" s="6" t="n"/>
      <c r="D308" s="16" t="inlineStr">
        <is>
          <t>Total</t>
        </is>
      </c>
      <c r="E308" s="17" t="n"/>
      <c r="F308" s="5" t="n"/>
      <c r="G308" s="5" t="n"/>
      <c r="H308" s="5" t="n"/>
      <c r="I308" s="17" t="n"/>
      <c r="J308" s="17">
        <f>J306+J307</f>
        <v/>
      </c>
    </row>
    <row r="309">
      <c r="A309" s="19" t="n"/>
      <c r="B309" s="20" t="n"/>
      <c r="C309" s="19" t="n"/>
      <c r="D309" s="19" t="n"/>
      <c r="E309" s="19" t="n"/>
      <c r="F309" s="19" t="n"/>
      <c r="G309" s="19" t="n"/>
      <c r="H309" s="19" t="n"/>
      <c r="I309" s="19" t="inlineStr">
        <is>
          <t>Or Say</t>
        </is>
      </c>
      <c r="J309" s="21">
        <f>ROUND(J308,0)</f>
        <v/>
      </c>
    </row>
    <row r="310">
      <c r="A310" s="1" t="n"/>
      <c r="B310" s="1" t="n"/>
      <c r="C310" s="1" t="n"/>
      <c r="D310" s="2" t="inlineStr">
        <is>
          <t>25mm PVC Pipe</t>
        </is>
      </c>
      <c r="E310" s="1" t="n"/>
      <c r="F310" s="1" t="n"/>
      <c r="G310" s="1" t="n"/>
      <c r="H310" s="1" t="n"/>
      <c r="I310" s="1" t="n"/>
      <c r="J310" s="1" t="n"/>
    </row>
    <row r="311">
      <c r="A311" s="3" t="n"/>
      <c r="B311" s="3" t="n"/>
      <c r="C311" s="3" t="n"/>
      <c r="D311" s="4" t="inlineStr">
        <is>
          <t xml:space="preserve">Data </t>
        </is>
      </c>
      <c r="E311" s="3" t="n"/>
      <c r="F311" s="3" t="n"/>
      <c r="G311" s="3" t="n"/>
      <c r="H311" s="3" t="n"/>
      <c r="I311" s="3" t="n"/>
      <c r="J311" s="3" t="n"/>
    </row>
    <row r="312" ht="25.5" customHeight="1">
      <c r="A312" s="5" t="n"/>
      <c r="B312" s="6" t="n"/>
      <c r="C312" s="5" t="n"/>
      <c r="D312" s="7" t="inlineStr">
        <is>
          <t xml:space="preserve">Replacement of u/s with new Supply of ISI 25mm  outer dia medium grade,  with IS:9537 part 3 rigid PVC pipe. Makes : Sudhakar / Finolex / Modi / VIP / Precision </t>
        </is>
      </c>
      <c r="E312" s="7" t="n"/>
      <c r="F312" s="7" t="n"/>
      <c r="G312" s="7" t="n"/>
      <c r="H312" s="7" t="n"/>
      <c r="I312" s="7" t="n"/>
      <c r="J312" s="7" t="n"/>
    </row>
    <row r="313" ht="25.5" customHeight="1">
      <c r="A313" s="8" t="n"/>
      <c r="B313" s="6" t="inlineStr">
        <is>
          <t>SOR 2025-26</t>
        </is>
      </c>
      <c r="C313" s="6" t="n"/>
      <c r="D313" s="9" t="inlineStr">
        <is>
          <t>a) Material</t>
        </is>
      </c>
      <c r="E313" s="10" t="inlineStr">
        <is>
          <t>Qty</t>
        </is>
      </c>
      <c r="F313" s="6" t="inlineStr">
        <is>
          <t>Unit</t>
        </is>
      </c>
      <c r="G313" s="11" t="inlineStr">
        <is>
          <t>Qty</t>
        </is>
      </c>
      <c r="H313" s="6" t="inlineStr">
        <is>
          <t>Unit</t>
        </is>
      </c>
      <c r="I313" s="10" t="inlineStr">
        <is>
          <t>Rate per item</t>
        </is>
      </c>
      <c r="J313" s="12" t="inlineStr">
        <is>
          <t>Amount</t>
        </is>
      </c>
    </row>
    <row r="314" ht="38.25" customHeight="1">
      <c r="A314" s="8" t="n"/>
      <c r="B314" s="26" t="inlineStr">
        <is>
          <t>ELEC-1.2.2 b</t>
        </is>
      </c>
      <c r="C314" s="6" t="n">
        <v>1</v>
      </c>
      <c r="D314" s="9" t="inlineStr">
        <is>
          <t xml:space="preserve">Supply of ISI 25mm  outer dia medium grade,  with IS:9537 part 3 rigid PVC pipe. Makes : Sudhakar / Finolex / Modi / VIP / Precision / Universal / Million Plast / DEC / Beljin </t>
        </is>
      </c>
      <c r="E314" s="14" t="n">
        <v>1</v>
      </c>
      <c r="F314" s="14" t="inlineStr">
        <is>
          <t>each</t>
        </is>
      </c>
      <c r="G314" s="14" t="n">
        <v>1</v>
      </c>
      <c r="H314" s="14" t="inlineStr">
        <is>
          <t>each</t>
        </is>
      </c>
      <c r="I314" s="14" t="n">
        <v>34</v>
      </c>
      <c r="J314" s="12">
        <f>I314*E314</f>
        <v/>
      </c>
    </row>
    <row r="315">
      <c r="A315" s="6" t="n"/>
      <c r="B315" s="6" t="n"/>
      <c r="C315" s="6" t="n"/>
      <c r="D315" s="9" t="inlineStr">
        <is>
          <t>Cost of materials per each</t>
        </is>
      </c>
      <c r="E315" s="10" t="n"/>
      <c r="F315" s="6" t="n"/>
      <c r="G315" s="6" t="n"/>
      <c r="H315" s="6" t="n"/>
      <c r="I315" s="10" t="n"/>
      <c r="J315" s="10">
        <f>J314</f>
        <v/>
      </c>
    </row>
    <row r="316">
      <c r="A316" s="6" t="n"/>
      <c r="B316" s="5" t="n"/>
      <c r="C316" s="6" t="n"/>
      <c r="D316" s="16" t="inlineStr">
        <is>
          <t>Add OH@10.615%</t>
        </is>
      </c>
      <c r="E316" s="17" t="n"/>
      <c r="F316" s="5" t="n"/>
      <c r="G316" s="5" t="n"/>
      <c r="H316" s="5" t="n"/>
      <c r="I316" s="17" t="n"/>
      <c r="J316" s="17">
        <f>10.615%*J315</f>
        <v/>
      </c>
    </row>
    <row r="317">
      <c r="A317" s="6" t="n"/>
      <c r="B317" s="5" t="n"/>
      <c r="C317" s="6" t="n"/>
      <c r="D317" s="16" t="inlineStr">
        <is>
          <t>Total</t>
        </is>
      </c>
      <c r="E317" s="17" t="n"/>
      <c r="F317" s="5" t="n"/>
      <c r="G317" s="5" t="n"/>
      <c r="H317" s="5" t="n"/>
      <c r="I317" s="17" t="n"/>
      <c r="J317" s="17">
        <f>J315+J316</f>
        <v/>
      </c>
    </row>
    <row r="318">
      <c r="A318" s="19" t="n"/>
      <c r="B318" s="20" t="n"/>
      <c r="C318" s="19" t="n"/>
      <c r="D318" s="19" t="n"/>
      <c r="E318" s="19" t="n"/>
      <c r="F318" s="19" t="n"/>
      <c r="G318" s="19" t="n"/>
      <c r="H318" s="19" t="n"/>
      <c r="I318" s="19" t="inlineStr">
        <is>
          <t>Or Say</t>
        </is>
      </c>
      <c r="J318" s="21">
        <f>ROUND(J317,0)</f>
        <v/>
      </c>
    </row>
    <row r="319">
      <c r="A319" s="1" t="n"/>
      <c r="B319" s="1" t="n"/>
      <c r="C319" s="1" t="n"/>
      <c r="D319" s="2" t="inlineStr">
        <is>
          <t>Rewinding of motor of 1200mm / 1400mm ceiling Fan</t>
        </is>
      </c>
      <c r="E319" s="1" t="n"/>
      <c r="F319" s="1" t="n"/>
      <c r="G319" s="1" t="n"/>
      <c r="H319" s="1" t="n"/>
      <c r="I319" s="1" t="n"/>
      <c r="J319" s="1" t="n"/>
    </row>
    <row r="320">
      <c r="A320" s="3" t="n"/>
      <c r="B320" s="3" t="n"/>
      <c r="C320" s="3" t="n"/>
      <c r="D320" s="4" t="inlineStr">
        <is>
          <t xml:space="preserve">Data </t>
        </is>
      </c>
      <c r="E320" s="3" t="n"/>
      <c r="F320" s="3" t="n"/>
      <c r="G320" s="3" t="n"/>
      <c r="H320" s="3" t="n"/>
      <c r="I320" s="3" t="n"/>
      <c r="J320" s="3" t="n"/>
    </row>
    <row r="321" ht="38.25" customHeight="1">
      <c r="A321" s="5" t="n"/>
      <c r="B321" s="6" t="n"/>
      <c r="C321" s="5" t="n"/>
      <c r="D321" s="7" t="inlineStr">
        <is>
          <t xml:space="preserve">Replacement of u/s with new Rewinding of motor of 1200mm / 1400mm ceiling Fan including minor repairs, lubrication of ball bearings, bush bearings and replacing condencer, screws etc testing of fan for original speed. </t>
        </is>
      </c>
      <c r="E321" s="7" t="n"/>
      <c r="F321" s="7" t="n"/>
      <c r="G321" s="7" t="n"/>
      <c r="H321" s="7" t="n"/>
      <c r="I321" s="7" t="n"/>
      <c r="J321" s="7" t="n"/>
    </row>
    <row r="322" ht="25.5" customHeight="1">
      <c r="A322" s="8" t="n"/>
      <c r="B322" s="6" t="inlineStr">
        <is>
          <t>SOR 2025-26</t>
        </is>
      </c>
      <c r="C322" s="6" t="n"/>
      <c r="D322" s="9" t="inlineStr">
        <is>
          <t>a) Material</t>
        </is>
      </c>
      <c r="E322" s="10" t="inlineStr">
        <is>
          <t>Qty</t>
        </is>
      </c>
      <c r="F322" s="6" t="inlineStr">
        <is>
          <t>Unit</t>
        </is>
      </c>
      <c r="G322" s="11" t="inlineStr">
        <is>
          <t>Qty</t>
        </is>
      </c>
      <c r="H322" s="6" t="inlineStr">
        <is>
          <t>Unit</t>
        </is>
      </c>
      <c r="I322" s="10" t="inlineStr">
        <is>
          <t>Rate per item</t>
        </is>
      </c>
      <c r="J322" s="12" t="inlineStr">
        <is>
          <t>Amount</t>
        </is>
      </c>
    </row>
    <row r="323" ht="38.25" customHeight="1">
      <c r="A323" s="8" t="n"/>
      <c r="B323" s="26" t="inlineStr">
        <is>
          <t>ELEC-5.13.3</t>
        </is>
      </c>
      <c r="C323" s="6" t="n">
        <v>1</v>
      </c>
      <c r="D323" s="9" t="inlineStr">
        <is>
          <t xml:space="preserve">Rewinding of motor of 1200mm / 1400mm ceiling Fan including minor repairs, lubrication of ball bearings, bush bearings and replacing condencer, screws etc testing of fan for original speed. </t>
        </is>
      </c>
      <c r="E323" s="14" t="n">
        <v>1</v>
      </c>
      <c r="F323" s="14" t="inlineStr">
        <is>
          <t>each</t>
        </is>
      </c>
      <c r="G323" s="14" t="n">
        <v>1</v>
      </c>
      <c r="H323" s="14" t="inlineStr">
        <is>
          <t>each</t>
        </is>
      </c>
      <c r="I323" s="14" t="n">
        <v>740</v>
      </c>
      <c r="J323" s="12">
        <f>I323*E323</f>
        <v/>
      </c>
    </row>
    <row r="324">
      <c r="A324" s="6" t="n"/>
      <c r="B324" s="6" t="n"/>
      <c r="C324" s="6" t="n"/>
      <c r="D324" s="9" t="inlineStr">
        <is>
          <t>Cost of materials per each</t>
        </is>
      </c>
      <c r="E324" s="10" t="n"/>
      <c r="F324" s="6" t="n"/>
      <c r="G324" s="6" t="n"/>
      <c r="H324" s="6" t="n"/>
      <c r="I324" s="10" t="n"/>
      <c r="J324" s="10">
        <f>J323</f>
        <v/>
      </c>
    </row>
    <row r="325">
      <c r="A325" s="6" t="n"/>
      <c r="B325" s="5" t="n"/>
      <c r="C325" s="6" t="n"/>
      <c r="D325" s="16" t="inlineStr">
        <is>
          <t>Add OH@10.615%</t>
        </is>
      </c>
      <c r="E325" s="17" t="n"/>
      <c r="F325" s="5" t="n"/>
      <c r="G325" s="5" t="n"/>
      <c r="H325" s="5" t="n"/>
      <c r="I325" s="17" t="n"/>
      <c r="J325" s="17">
        <f>10.615%*J324</f>
        <v/>
      </c>
    </row>
    <row r="326">
      <c r="A326" s="6" t="n"/>
      <c r="B326" s="5" t="n"/>
      <c r="C326" s="6" t="n"/>
      <c r="D326" s="16" t="inlineStr">
        <is>
          <t>Total</t>
        </is>
      </c>
      <c r="E326" s="17" t="n"/>
      <c r="F326" s="5" t="n"/>
      <c r="G326" s="5" t="n"/>
      <c r="H326" s="5" t="n"/>
      <c r="I326" s="17" t="n"/>
      <c r="J326" s="17">
        <f>J324+J325</f>
        <v/>
      </c>
    </row>
    <row r="327">
      <c r="A327" s="19" t="n"/>
      <c r="B327" s="20" t="n"/>
      <c r="C327" s="19" t="n"/>
      <c r="D327" s="19" t="n"/>
      <c r="E327" s="19" t="n"/>
      <c r="F327" s="19" t="n"/>
      <c r="G327" s="19" t="n"/>
      <c r="H327" s="19" t="n"/>
      <c r="I327" s="19" t="inlineStr">
        <is>
          <t>Or Say</t>
        </is>
      </c>
      <c r="J327" s="21">
        <f>ROUND(J326,0)</f>
        <v/>
      </c>
    </row>
    <row r="328">
      <c r="A328" s="1" t="n"/>
      <c r="B328" s="1" t="n"/>
      <c r="C328" s="1" t="n"/>
      <c r="D328" s="2" t="inlineStr">
        <is>
          <t>20W LED Batten light</t>
        </is>
      </c>
      <c r="E328" s="1" t="n"/>
      <c r="F328" s="1" t="n"/>
      <c r="G328" s="1" t="n"/>
      <c r="H328" s="1" t="n"/>
      <c r="I328" s="1" t="n"/>
      <c r="J328" s="1" t="n"/>
    </row>
    <row r="329">
      <c r="A329" s="3" t="n"/>
      <c r="B329" s="3" t="n"/>
      <c r="C329" s="3" t="n"/>
      <c r="D329" s="4" t="inlineStr">
        <is>
          <t xml:space="preserve">Data </t>
        </is>
      </c>
      <c r="E329" s="3" t="n"/>
      <c r="F329" s="3" t="n"/>
      <c r="G329" s="3" t="n"/>
      <c r="H329" s="3" t="n"/>
      <c r="I329" s="3" t="n"/>
      <c r="J329" s="3" t="n"/>
    </row>
    <row r="330" ht="102" customHeight="1">
      <c r="A330" s="5" t="n"/>
      <c r="B330" s="6" t="n"/>
      <c r="C330" s="5" t="n"/>
      <c r="D330" s="7" t="inlineStr">
        <is>
          <t>Replacement of old u/s with new  Supply    and    transportation    of    20W +/ 10% , &gt;/   0300    lumens, 1200 mm  length LED light  housing made with alluminium anodised body, wide operating voltage with   Double side connection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t>
        </is>
      </c>
      <c r="E330" s="7" t="n"/>
      <c r="F330" s="7" t="n"/>
      <c r="G330" s="7" t="n"/>
      <c r="H330" s="7" t="n"/>
      <c r="I330" s="7" t="n"/>
      <c r="J330" s="7" t="n"/>
    </row>
    <row r="331" ht="25.5" customHeight="1">
      <c r="A331" s="8" t="n"/>
      <c r="B331" s="6" t="inlineStr">
        <is>
          <t>SOR 2025-26</t>
        </is>
      </c>
      <c r="C331" s="6" t="n"/>
      <c r="D331" s="9" t="inlineStr">
        <is>
          <t>a) Material</t>
        </is>
      </c>
      <c r="E331" s="10" t="inlineStr">
        <is>
          <t>Qty</t>
        </is>
      </c>
      <c r="F331" s="6" t="inlineStr">
        <is>
          <t>Unit</t>
        </is>
      </c>
      <c r="G331" s="11" t="inlineStr">
        <is>
          <t>Qty</t>
        </is>
      </c>
      <c r="H331" s="6" t="inlineStr">
        <is>
          <t>Unit</t>
        </is>
      </c>
      <c r="I331" s="10" t="inlineStr">
        <is>
          <t>Rate per item</t>
        </is>
      </c>
      <c r="J331" s="12" t="inlineStr">
        <is>
          <t>Amount</t>
        </is>
      </c>
    </row>
    <row r="332" ht="89.25" customHeight="1">
      <c r="A332" s="8" t="n"/>
      <c r="B332" s="26" t="inlineStr">
        <is>
          <t>ELEC-3.3.10</t>
        </is>
      </c>
      <c r="C332" s="6" t="n">
        <v>1</v>
      </c>
      <c r="D332" s="9" t="inlineStr">
        <is>
          <t>Supply    and    transportation    of    20W +/ 10% , &gt;/   0300    lumens, 1200 mm  length LED light  housing made with alluminium anodised body, wide operating voltage with   Double side connection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 Deduct 30% cost for 2 years Warrenty</t>
        </is>
      </c>
      <c r="E332" s="14" t="n">
        <v>1</v>
      </c>
      <c r="F332" s="14" t="inlineStr">
        <is>
          <t>each</t>
        </is>
      </c>
      <c r="G332" s="14" t="n">
        <v>1</v>
      </c>
      <c r="H332" s="14" t="inlineStr">
        <is>
          <t>each</t>
        </is>
      </c>
      <c r="I332" s="14">
        <f>477*0.7</f>
        <v/>
      </c>
      <c r="J332" s="12">
        <f>I332*E332</f>
        <v/>
      </c>
    </row>
    <row r="333">
      <c r="A333" s="6" t="n"/>
      <c r="B333" s="6" t="n"/>
      <c r="C333" s="6" t="n"/>
      <c r="D333" s="9" t="inlineStr">
        <is>
          <t>Cost of materials per each</t>
        </is>
      </c>
      <c r="E333" s="10" t="n"/>
      <c r="F333" s="6" t="n"/>
      <c r="G333" s="6" t="n"/>
      <c r="H333" s="6" t="n"/>
      <c r="I333" s="10" t="n"/>
      <c r="J333" s="17">
        <f>J332</f>
        <v/>
      </c>
    </row>
    <row r="334">
      <c r="A334" s="6" t="n"/>
      <c r="B334" s="5" t="n"/>
      <c r="C334" s="6" t="n"/>
      <c r="D334" s="16" t="inlineStr">
        <is>
          <t>Add OH@10.615%</t>
        </is>
      </c>
      <c r="E334" s="17" t="n"/>
      <c r="F334" s="5" t="n"/>
      <c r="G334" s="5" t="n"/>
      <c r="H334" s="5" t="n"/>
      <c r="I334" s="17" t="n"/>
      <c r="J334" s="17">
        <f>10.615%*J333</f>
        <v/>
      </c>
    </row>
    <row r="335">
      <c r="A335" s="6" t="n"/>
      <c r="B335" s="5" t="n"/>
      <c r="C335" s="6" t="n"/>
      <c r="D335" s="16" t="inlineStr">
        <is>
          <t>Total</t>
        </is>
      </c>
      <c r="E335" s="17" t="n"/>
      <c r="F335" s="5" t="n"/>
      <c r="G335" s="5" t="n"/>
      <c r="H335" s="5" t="n"/>
      <c r="I335" s="17" t="n"/>
      <c r="J335" s="17">
        <f>J333+J334</f>
        <v/>
      </c>
    </row>
    <row r="336">
      <c r="A336" s="19" t="n"/>
      <c r="B336" s="20" t="n"/>
      <c r="C336" s="19" t="n"/>
      <c r="D336" s="19" t="n"/>
      <c r="E336" s="19" t="n"/>
      <c r="F336" s="19" t="n"/>
      <c r="G336" s="19" t="n"/>
      <c r="H336" s="19" t="n"/>
      <c r="I336" s="19" t="inlineStr">
        <is>
          <t>Or Say</t>
        </is>
      </c>
      <c r="J336" s="21">
        <f>ROUND(J335,0)</f>
        <v/>
      </c>
    </row>
    <row r="337">
      <c r="A337" s="1" t="n"/>
      <c r="B337" s="1" t="n"/>
      <c r="C337" s="1" t="n"/>
      <c r="D337" s="2" t="inlineStr">
        <is>
          <t>15W LED slimline panel  light</t>
        </is>
      </c>
      <c r="E337" s="1" t="n"/>
      <c r="F337" s="1" t="n"/>
      <c r="G337" s="1" t="n"/>
      <c r="H337" s="1" t="n"/>
      <c r="I337" s="1" t="n"/>
      <c r="J337" s="1" t="n"/>
    </row>
    <row r="338">
      <c r="A338" s="3" t="n"/>
      <c r="B338" s="3" t="n"/>
      <c r="C338" s="3" t="n"/>
      <c r="D338" s="4" t="inlineStr">
        <is>
          <t xml:space="preserve">Data </t>
        </is>
      </c>
      <c r="E338" s="3" t="n"/>
      <c r="F338" s="3" t="n"/>
      <c r="G338" s="3" t="n"/>
      <c r="H338" s="3" t="n"/>
      <c r="I338" s="3" t="n"/>
      <c r="J338" s="3" t="n"/>
    </row>
    <row r="339" ht="114.75" customHeight="1">
      <c r="A339" s="5" t="n"/>
      <c r="B339" s="6" t="n"/>
      <c r="C339" s="5" t="n"/>
      <c r="D339" s="7" t="inlineStr">
        <is>
          <t>Replacement of old u/s with new 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OSRAM / Wipro / Crompton / Bajaj / Havells /   LED MAKE : Philips Lumileds / Cree / Nichia / Osram / Samsung / LG LEDs.</t>
        </is>
      </c>
      <c r="E339" s="7" t="n"/>
      <c r="F339" s="7" t="n"/>
      <c r="G339" s="7" t="n"/>
      <c r="H339" s="7" t="n"/>
      <c r="I339" s="7" t="n"/>
      <c r="J339" s="7" t="n"/>
    </row>
    <row r="340" ht="25.5" customHeight="1">
      <c r="A340" s="8" t="n"/>
      <c r="B340" s="6" t="inlineStr">
        <is>
          <t>SOR 2025-26</t>
        </is>
      </c>
      <c r="C340" s="6" t="n"/>
      <c r="D340" s="9" t="inlineStr">
        <is>
          <t>a) Material</t>
        </is>
      </c>
      <c r="E340" s="10" t="inlineStr">
        <is>
          <t>Qty</t>
        </is>
      </c>
      <c r="F340" s="6" t="inlineStr">
        <is>
          <t>Unit</t>
        </is>
      </c>
      <c r="G340" s="11" t="inlineStr">
        <is>
          <t>Qty</t>
        </is>
      </c>
      <c r="H340" s="6" t="inlineStr">
        <is>
          <t>Unit</t>
        </is>
      </c>
      <c r="I340" s="10" t="inlineStr">
        <is>
          <t>Rate per item</t>
        </is>
      </c>
      <c r="J340" s="12" t="inlineStr">
        <is>
          <t>Amount</t>
        </is>
      </c>
    </row>
    <row r="341" ht="102" customHeight="1">
      <c r="A341" s="8" t="n"/>
      <c r="B341" s="26" t="inlineStr">
        <is>
          <t>ELEC-3.3.7c</t>
        </is>
      </c>
      <c r="C341" s="6" t="n">
        <v>1</v>
      </c>
      <c r="D341" s="9" t="inlineStr">
        <is>
          <t>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OSRAM / Wipro / Crompton / Bajaj / Havells  Deduct 30% cost for 2 years Warrenty</t>
        </is>
      </c>
      <c r="E341" s="14" t="n">
        <v>1</v>
      </c>
      <c r="F341" s="14" t="inlineStr">
        <is>
          <t>each</t>
        </is>
      </c>
      <c r="G341" s="14" t="n">
        <v>1</v>
      </c>
      <c r="H341" s="14" t="inlineStr">
        <is>
          <t>each</t>
        </is>
      </c>
      <c r="I341" s="14">
        <f>874*0.7</f>
        <v/>
      </c>
      <c r="J341" s="12">
        <f>I341*E341</f>
        <v/>
      </c>
    </row>
    <row r="342">
      <c r="A342" s="6" t="n"/>
      <c r="B342" s="6" t="n"/>
      <c r="C342" s="6" t="n"/>
      <c r="D342" s="9" t="inlineStr">
        <is>
          <t>Cost of materials per each</t>
        </is>
      </c>
      <c r="E342" s="10" t="n"/>
      <c r="F342" s="6" t="n"/>
      <c r="G342" s="6" t="n"/>
      <c r="H342" s="6" t="n"/>
      <c r="I342" s="10" t="n"/>
      <c r="J342" s="17">
        <f>J341</f>
        <v/>
      </c>
    </row>
    <row r="343">
      <c r="A343" s="6" t="n"/>
      <c r="B343" s="5" t="n"/>
      <c r="C343" s="6" t="n"/>
      <c r="D343" s="16" t="inlineStr">
        <is>
          <t>Add OH@10.615%</t>
        </is>
      </c>
      <c r="E343" s="17" t="n"/>
      <c r="F343" s="5" t="n"/>
      <c r="G343" s="5" t="n"/>
      <c r="H343" s="5" t="n"/>
      <c r="I343" s="17" t="n"/>
      <c r="J343" s="17">
        <f>10.615%*J342</f>
        <v/>
      </c>
    </row>
    <row r="344">
      <c r="A344" s="6" t="n"/>
      <c r="B344" s="5" t="n"/>
      <c r="C344" s="6" t="n"/>
      <c r="D344" s="16" t="inlineStr">
        <is>
          <t>Total</t>
        </is>
      </c>
      <c r="E344" s="17" t="n"/>
      <c r="F344" s="5" t="n"/>
      <c r="G344" s="5" t="n"/>
      <c r="H344" s="5" t="n"/>
      <c r="I344" s="17" t="n"/>
      <c r="J344" s="17">
        <f>J342+J343</f>
        <v/>
      </c>
    </row>
    <row r="345">
      <c r="A345" s="19" t="n"/>
      <c r="B345" s="20" t="n"/>
      <c r="C345" s="19" t="n"/>
      <c r="D345" s="19" t="n"/>
      <c r="E345" s="19" t="n"/>
      <c r="F345" s="19" t="n"/>
      <c r="G345" s="19" t="n"/>
      <c r="H345" s="19" t="n"/>
      <c r="I345" s="19" t="inlineStr">
        <is>
          <t>Or Say</t>
        </is>
      </c>
      <c r="J345" s="21">
        <f>ROUND(J344,0)</f>
        <v/>
      </c>
    </row>
    <row r="346">
      <c r="A346" s="1" t="n"/>
      <c r="B346" s="1" t="n"/>
      <c r="C346" s="1" t="n"/>
      <c r="D346" s="2" t="inlineStr">
        <is>
          <t>7.0W LED Bulb</t>
        </is>
      </c>
      <c r="E346" s="1" t="n"/>
      <c r="F346" s="1" t="n"/>
      <c r="G346" s="1" t="n"/>
      <c r="H346" s="1" t="n"/>
      <c r="I346" s="1" t="n"/>
      <c r="J346" s="1" t="n"/>
    </row>
    <row r="347">
      <c r="A347" s="3" t="n"/>
      <c r="B347" s="3" t="n"/>
      <c r="C347" s="3" t="n"/>
      <c r="D347" s="4" t="inlineStr">
        <is>
          <t xml:space="preserve">Data </t>
        </is>
      </c>
      <c r="E347" s="3" t="n"/>
      <c r="F347" s="3" t="n"/>
      <c r="G347" s="3" t="n"/>
      <c r="H347" s="3" t="n"/>
      <c r="I347" s="3" t="n"/>
      <c r="J347" s="3" t="n"/>
    </row>
    <row r="348" ht="38.25" customHeight="1">
      <c r="A348" s="5" t="n"/>
      <c r="B348" s="6" t="n"/>
      <c r="C348" s="5" t="n"/>
      <c r="D348" s="7" t="inlineStr">
        <is>
          <t xml:space="preserve">Replacement of u/s with new Supply of 7.0W LED Lamp with input voltage 90 to 300V, Colour temparature 3000k - 6500k, Beam angle 170 - 220 degrees, B22 baseof Makes: Phillips / OSRAM / Crompton / Eveready / Bajaj / Havells </t>
        </is>
      </c>
      <c r="E348" s="7" t="n"/>
      <c r="F348" s="7" t="n"/>
      <c r="G348" s="7" t="n"/>
      <c r="H348" s="7" t="n"/>
      <c r="I348" s="7" t="n"/>
      <c r="J348" s="7" t="n"/>
    </row>
    <row r="349" ht="25.5" customHeight="1">
      <c r="A349" s="8" t="n"/>
      <c r="B349" s="6" t="inlineStr">
        <is>
          <t>SOR 2025-26</t>
        </is>
      </c>
      <c r="C349" s="6" t="n"/>
      <c r="D349" s="9" t="inlineStr">
        <is>
          <t>a) Material</t>
        </is>
      </c>
      <c r="E349" s="10" t="inlineStr">
        <is>
          <t>Qty</t>
        </is>
      </c>
      <c r="F349" s="6" t="inlineStr">
        <is>
          <t>Unit</t>
        </is>
      </c>
      <c r="G349" s="11" t="inlineStr">
        <is>
          <t>Qty</t>
        </is>
      </c>
      <c r="H349" s="6" t="inlineStr">
        <is>
          <t>Unit</t>
        </is>
      </c>
      <c r="I349" s="10" t="inlineStr">
        <is>
          <t>Rate per item</t>
        </is>
      </c>
      <c r="J349" s="12" t="inlineStr">
        <is>
          <t>Amount</t>
        </is>
      </c>
    </row>
    <row r="350" ht="51" customHeight="1">
      <c r="A350" s="8" t="n"/>
      <c r="B350" s="26" t="inlineStr">
        <is>
          <t>ELEC-3.4.1 d</t>
        </is>
      </c>
      <c r="C350" s="6" t="n">
        <v>1</v>
      </c>
      <c r="D350" s="9" t="inlineStr">
        <is>
          <t xml:space="preserve">Supply of 7.0W LED Lamp with input voltage 90 to 300V, Colour temparature 3000k - 6500k, Beam angle 170 - 220 degrees, B22 baseof Makes: Phillips / OSRAM / Crompton / Eveready / Bajaj / Havells / Pharox / Halonix / Greenlites / IB LED/Jaquar / C&amp;S / GM / Gold Medal / Million / Syska.. </t>
        </is>
      </c>
      <c r="E350" s="14" t="n">
        <v>1</v>
      </c>
      <c r="F350" s="14" t="inlineStr">
        <is>
          <t>each</t>
        </is>
      </c>
      <c r="G350" s="14" t="n">
        <v>1</v>
      </c>
      <c r="H350" s="14" t="inlineStr">
        <is>
          <t>each</t>
        </is>
      </c>
      <c r="I350" s="14" t="n">
        <v>89</v>
      </c>
      <c r="J350" s="12">
        <f>I350*E350</f>
        <v/>
      </c>
    </row>
    <row r="351">
      <c r="A351" s="6" t="n"/>
      <c r="B351" s="6" t="n"/>
      <c r="C351" s="6" t="n"/>
      <c r="D351" s="9" t="inlineStr">
        <is>
          <t>Cost of materials per each</t>
        </is>
      </c>
      <c r="E351" s="10" t="n"/>
      <c r="F351" s="6" t="n"/>
      <c r="G351" s="6" t="n"/>
      <c r="H351" s="6" t="n"/>
      <c r="I351" s="10" t="n"/>
      <c r="J351" s="17">
        <f>J350</f>
        <v/>
      </c>
    </row>
    <row r="352">
      <c r="A352" s="6" t="n"/>
      <c r="B352" s="5" t="n"/>
      <c r="C352" s="6" t="n"/>
      <c r="D352" s="16" t="inlineStr">
        <is>
          <t>Add OH@10.615%</t>
        </is>
      </c>
      <c r="E352" s="17" t="n"/>
      <c r="F352" s="5" t="n"/>
      <c r="G352" s="5" t="n"/>
      <c r="H352" s="5" t="n"/>
      <c r="I352" s="17" t="n"/>
      <c r="J352" s="17">
        <f>10.615%*J351</f>
        <v/>
      </c>
    </row>
    <row r="353">
      <c r="A353" s="6" t="n"/>
      <c r="B353" s="5" t="n"/>
      <c r="C353" s="6" t="n"/>
      <c r="D353" s="16" t="inlineStr">
        <is>
          <t>Total</t>
        </is>
      </c>
      <c r="E353" s="17" t="n"/>
      <c r="F353" s="5" t="n"/>
      <c r="G353" s="5" t="n"/>
      <c r="H353" s="5" t="n"/>
      <c r="I353" s="17" t="n"/>
      <c r="J353" s="17">
        <f>J351+J352</f>
        <v/>
      </c>
    </row>
    <row r="354">
      <c r="A354" s="19" t="n"/>
      <c r="B354" s="20" t="n"/>
      <c r="C354" s="19" t="n"/>
      <c r="D354" s="19" t="n"/>
      <c r="E354" s="19" t="n"/>
      <c r="F354" s="19" t="n"/>
      <c r="G354" s="19" t="n"/>
      <c r="H354" s="19" t="n"/>
      <c r="I354" s="19" t="inlineStr">
        <is>
          <t>Or Say</t>
        </is>
      </c>
      <c r="J354" s="21">
        <f>ROUND(J353,0)</f>
        <v/>
      </c>
    </row>
    <row r="355">
      <c r="A355" s="1" t="n"/>
      <c r="B355" s="1" t="n"/>
      <c r="C355" s="1" t="n"/>
      <c r="D355" s="2" t="inlineStr">
        <is>
          <t>12.0W LED Bulb</t>
        </is>
      </c>
      <c r="E355" s="1" t="n"/>
      <c r="F355" s="1" t="n"/>
      <c r="G355" s="1" t="n"/>
      <c r="H355" s="1" t="n"/>
      <c r="I355" s="1" t="n"/>
      <c r="J355" s="1" t="n"/>
    </row>
    <row r="356">
      <c r="A356" s="3" t="n"/>
      <c r="B356" s="3" t="n"/>
      <c r="C356" s="3" t="n"/>
      <c r="D356" s="4" t="inlineStr">
        <is>
          <t xml:space="preserve">Data </t>
        </is>
      </c>
      <c r="E356" s="3" t="n"/>
      <c r="F356" s="3" t="n"/>
      <c r="G356" s="3" t="n"/>
      <c r="H356" s="3" t="n"/>
      <c r="I356" s="3" t="n"/>
      <c r="J356" s="3" t="n"/>
    </row>
    <row r="357" ht="38.25" customHeight="1">
      <c r="A357" s="5" t="n"/>
      <c r="B357" s="6" t="n"/>
      <c r="C357" s="5" t="n"/>
      <c r="D357" s="7" t="inlineStr">
        <is>
          <t xml:space="preserve">Replacement of u/s with new Supply of 12.0W LED Lamp with input voltage 90 to 300V, Colour temparature 3000k - 6500k, Beam angle 170 - 220 degrees, B22 baseof Makes: Phillips / OSRAM / Crompton / Eveready / Bajaj / Havells </t>
        </is>
      </c>
      <c r="E357" s="7" t="n"/>
      <c r="F357" s="7" t="n"/>
      <c r="G357" s="7" t="n"/>
      <c r="H357" s="7" t="n"/>
      <c r="I357" s="7" t="n"/>
      <c r="J357" s="7" t="n"/>
    </row>
    <row r="358" ht="25.5" customHeight="1">
      <c r="A358" s="8" t="n"/>
      <c r="B358" s="6" t="inlineStr">
        <is>
          <t>SOR 2025-26</t>
        </is>
      </c>
      <c r="C358" s="6" t="n"/>
      <c r="D358" s="9" t="inlineStr">
        <is>
          <t>a) Material</t>
        </is>
      </c>
      <c r="E358" s="10" t="inlineStr">
        <is>
          <t>Qty</t>
        </is>
      </c>
      <c r="F358" s="6" t="inlineStr">
        <is>
          <t>Unit</t>
        </is>
      </c>
      <c r="G358" s="11" t="inlineStr">
        <is>
          <t>Qty</t>
        </is>
      </c>
      <c r="H358" s="6" t="inlineStr">
        <is>
          <t>Unit</t>
        </is>
      </c>
      <c r="I358" s="10" t="inlineStr">
        <is>
          <t>Rate per item</t>
        </is>
      </c>
      <c r="J358" s="12" t="inlineStr">
        <is>
          <t>Amount</t>
        </is>
      </c>
    </row>
    <row r="359" ht="51" customHeight="1">
      <c r="A359" s="8" t="n"/>
      <c r="B359" s="26" t="inlineStr">
        <is>
          <t>ELEC-3.4.1 f</t>
        </is>
      </c>
      <c r="C359" s="6" t="n">
        <v>1</v>
      </c>
      <c r="D359" s="9" t="inlineStr">
        <is>
          <t xml:space="preserve">Supply of 12.0W LED Lamp with input voltage 90 to 300V, Colour temparature 3000k - 6500k, Beam angle 170 - 220 degrees, B22 baseof Makes: Phillips / OSRAM / Crompton / Eveready / Bajaj / Havells / Pharox / Halonix / Greenlites / IB LED/Jaquar / C&amp;S / GM / Gold Medal / Million / Syska.. </t>
        </is>
      </c>
      <c r="E359" s="14" t="n">
        <v>1</v>
      </c>
      <c r="F359" s="14" t="inlineStr">
        <is>
          <t>each</t>
        </is>
      </c>
      <c r="G359" s="14" t="n">
        <v>1</v>
      </c>
      <c r="H359" s="14" t="inlineStr">
        <is>
          <t>each</t>
        </is>
      </c>
      <c r="I359" s="14" t="n">
        <v>153</v>
      </c>
      <c r="J359" s="12">
        <f>I359*E359</f>
        <v/>
      </c>
    </row>
    <row r="360">
      <c r="A360" s="6" t="n"/>
      <c r="B360" s="6" t="n"/>
      <c r="C360" s="6" t="n"/>
      <c r="D360" s="9" t="inlineStr">
        <is>
          <t>Cost of materials per each</t>
        </is>
      </c>
      <c r="E360" s="10" t="n"/>
      <c r="F360" s="6" t="n"/>
      <c r="G360" s="6" t="n"/>
      <c r="H360" s="6" t="n"/>
      <c r="I360" s="10" t="n"/>
      <c r="J360" s="17">
        <f>J359</f>
        <v/>
      </c>
    </row>
    <row r="361">
      <c r="A361" s="6" t="n"/>
      <c r="B361" s="5" t="n"/>
      <c r="C361" s="6" t="n"/>
      <c r="D361" s="16" t="inlineStr">
        <is>
          <t>Add OH@10.615%</t>
        </is>
      </c>
      <c r="E361" s="17" t="n"/>
      <c r="F361" s="5" t="n"/>
      <c r="G361" s="5" t="n"/>
      <c r="H361" s="5" t="n"/>
      <c r="I361" s="17" t="n"/>
      <c r="J361" s="17">
        <f>10.615%*J360</f>
        <v/>
      </c>
    </row>
    <row r="362">
      <c r="A362" s="6" t="n"/>
      <c r="B362" s="5" t="n"/>
      <c r="C362" s="6" t="n"/>
      <c r="D362" s="16" t="inlineStr">
        <is>
          <t>Total</t>
        </is>
      </c>
      <c r="E362" s="17" t="n"/>
      <c r="F362" s="5" t="n"/>
      <c r="G362" s="5" t="n"/>
      <c r="H362" s="5" t="n"/>
      <c r="I362" s="17" t="n"/>
      <c r="J362" s="17">
        <f>J360+J361</f>
        <v/>
      </c>
    </row>
    <row r="363">
      <c r="A363" s="19" t="n"/>
      <c r="B363" s="20" t="n"/>
      <c r="C363" s="19" t="n"/>
      <c r="D363" s="19" t="n"/>
      <c r="E363" s="19" t="n"/>
      <c r="F363" s="19" t="n"/>
      <c r="G363" s="19" t="n"/>
      <c r="H363" s="19" t="n"/>
      <c r="I363" s="19" t="inlineStr">
        <is>
          <t>Or Say</t>
        </is>
      </c>
      <c r="J363" s="21">
        <f>ROUND(J362,0)</f>
        <v/>
      </c>
    </row>
    <row r="364">
      <c r="A364" s="1" t="n"/>
      <c r="B364" s="1" t="n"/>
      <c r="C364" s="1" t="n"/>
      <c r="D364" s="2" t="inlineStr">
        <is>
          <t>LED Driver for LED down lights</t>
        </is>
      </c>
      <c r="E364" s="1" t="n"/>
      <c r="F364" s="1" t="n"/>
      <c r="G364" s="1" t="n"/>
      <c r="H364" s="1" t="n"/>
      <c r="I364" s="1" t="n"/>
      <c r="J364" s="1" t="n"/>
    </row>
    <row r="365">
      <c r="A365" s="3" t="n"/>
      <c r="B365" s="3" t="n"/>
      <c r="C365" s="3" t="n"/>
      <c r="D365" s="4" t="inlineStr">
        <is>
          <t xml:space="preserve">Data </t>
        </is>
      </c>
      <c r="E365" s="3" t="n"/>
      <c r="F365" s="3" t="n"/>
      <c r="G365" s="3" t="n"/>
      <c r="H365" s="3" t="n"/>
      <c r="I365" s="3" t="n"/>
      <c r="J365" s="3" t="n"/>
    </row>
    <row r="366" ht="63.75" customHeight="1">
      <c r="A366" s="5" t="n"/>
      <c r="B366" s="6" t="n"/>
      <c r="C366" s="5" t="n"/>
      <c r="D366" s="7" t="inlineStr">
        <is>
          <t xml:space="preserve">Replacement of u/s with new Supply and transportation of LED Driver  with input line voltage 120V-270V AC, 50Hz with surge protection more than 2.5 KV, IP20, suitable for 12 W / 18 W / 20W / 22 W  LED down lights. MAKES : PHILIPS / OSRAM / GE /  CROMPTON  / BAJAJ / Keselec /  HALONIX / HAVELLS / HPL / SURYA / SYSKA / Jaquar /Arraystorm / GM / Goldmedal      / PRO-LITE  </t>
        </is>
      </c>
      <c r="E366" s="7" t="n"/>
      <c r="F366" s="7" t="n"/>
      <c r="G366" s="7" t="n"/>
      <c r="H366" s="7" t="n"/>
      <c r="I366" s="7" t="n"/>
      <c r="J366" s="7" t="n"/>
    </row>
    <row r="367" ht="25.5" customHeight="1">
      <c r="A367" s="8" t="n"/>
      <c r="B367" s="6" t="inlineStr">
        <is>
          <t>SOR 2025-26</t>
        </is>
      </c>
      <c r="C367" s="6" t="n"/>
      <c r="D367" s="9" t="inlineStr">
        <is>
          <t>a) Material</t>
        </is>
      </c>
      <c r="E367" s="10" t="inlineStr">
        <is>
          <t>Qty</t>
        </is>
      </c>
      <c r="F367" s="6" t="inlineStr">
        <is>
          <t>Unit</t>
        </is>
      </c>
      <c r="G367" s="11" t="inlineStr">
        <is>
          <t>Qty</t>
        </is>
      </c>
      <c r="H367" s="6" t="inlineStr">
        <is>
          <t>Unit</t>
        </is>
      </c>
      <c r="I367" s="10" t="inlineStr">
        <is>
          <t>Rate per item</t>
        </is>
      </c>
      <c r="J367" s="12" t="inlineStr">
        <is>
          <t>Amount</t>
        </is>
      </c>
    </row>
    <row r="368" ht="63.75" customHeight="1">
      <c r="A368" s="8" t="n"/>
      <c r="B368" s="26" t="inlineStr">
        <is>
          <t>ELEC-3.6.1b</t>
        </is>
      </c>
      <c r="C368" s="6" t="n">
        <v>1</v>
      </c>
      <c r="D368" s="9" t="inlineStr">
        <is>
          <t xml:space="preserve"> Supply and transportation of LED Driver  with input line voltage 120V-270V AC, 50Hz with surge protection more than 2.5 KV, IP20, suitable for 12 W / 18 W / 20W / 22 W LED LED down lighter. MAKES : PHILIPS / OSRAM / GE /  CROMPTON  / BAJAJ / Keselec /  HALONIX / HAVELLS / HPL / SURYA / SYSKA / Jaquar /Arraystorm / GM / Goldmedal      / PRO-LITE  </t>
        </is>
      </c>
      <c r="E368" s="14" t="n">
        <v>1</v>
      </c>
      <c r="F368" s="14" t="inlineStr">
        <is>
          <t>each</t>
        </is>
      </c>
      <c r="G368" s="14" t="n">
        <v>1</v>
      </c>
      <c r="H368" s="14" t="inlineStr">
        <is>
          <t>each</t>
        </is>
      </c>
      <c r="I368" s="14" t="n">
        <v>370</v>
      </c>
      <c r="J368" s="12">
        <f>I368*E368</f>
        <v/>
      </c>
    </row>
    <row r="369">
      <c r="A369" s="6" t="n"/>
      <c r="B369" s="6" t="n"/>
      <c r="C369" s="6" t="n"/>
      <c r="D369" s="9" t="inlineStr">
        <is>
          <t>Cost of materials per each</t>
        </is>
      </c>
      <c r="E369" s="10" t="n"/>
      <c r="F369" s="6" t="n"/>
      <c r="G369" s="6" t="n"/>
      <c r="H369" s="6" t="n"/>
      <c r="I369" s="10" t="n"/>
      <c r="J369" s="17">
        <f>J368</f>
        <v/>
      </c>
    </row>
    <row r="370">
      <c r="A370" s="6" t="n"/>
      <c r="B370" s="5" t="n"/>
      <c r="C370" s="6" t="n"/>
      <c r="D370" s="16" t="inlineStr">
        <is>
          <t>Add OH@10.615%</t>
        </is>
      </c>
      <c r="E370" s="17" t="n"/>
      <c r="F370" s="5" t="n"/>
      <c r="G370" s="5" t="n"/>
      <c r="H370" s="5" t="n"/>
      <c r="I370" s="17" t="n"/>
      <c r="J370" s="17">
        <f>10.615%*J369</f>
        <v/>
      </c>
    </row>
    <row r="371">
      <c r="A371" s="6" t="n"/>
      <c r="B371" s="5" t="n"/>
      <c r="C371" s="6" t="n"/>
      <c r="D371" s="16" t="inlineStr">
        <is>
          <t>Total</t>
        </is>
      </c>
      <c r="E371" s="17" t="n"/>
      <c r="F371" s="5" t="n"/>
      <c r="G371" s="5" t="n"/>
      <c r="H371" s="5" t="n"/>
      <c r="I371" s="17" t="n"/>
      <c r="J371" s="17">
        <f>J369+J370</f>
        <v/>
      </c>
    </row>
    <row r="372">
      <c r="A372" s="19" t="n"/>
      <c r="B372" s="20" t="n"/>
      <c r="C372" s="19" t="n"/>
      <c r="D372" s="19" t="n"/>
      <c r="E372" s="19" t="n"/>
      <c r="F372" s="19" t="n"/>
      <c r="G372" s="19" t="n"/>
      <c r="H372" s="19" t="n"/>
      <c r="I372" s="19" t="inlineStr">
        <is>
          <t>Or Say</t>
        </is>
      </c>
      <c r="J372" s="21">
        <f>ROUND(J371,0)</f>
        <v/>
      </c>
    </row>
    <row r="373">
      <c r="A373" s="1" t="n"/>
      <c r="B373" s="1" t="n"/>
      <c r="C373" s="1" t="n"/>
      <c r="D373" s="2" t="inlineStr">
        <is>
          <t>LED Driver for 90-180WLED street light</t>
        </is>
      </c>
      <c r="E373" s="1" t="n"/>
      <c r="F373" s="1" t="n"/>
      <c r="G373" s="1" t="n"/>
      <c r="H373" s="1" t="n"/>
      <c r="I373" s="1" t="n"/>
      <c r="J373" s="1" t="n"/>
    </row>
    <row r="374">
      <c r="A374" s="3" t="n"/>
      <c r="B374" s="3" t="n"/>
      <c r="C374" s="3" t="n"/>
      <c r="D374" s="4" t="inlineStr">
        <is>
          <t xml:space="preserve">Data </t>
        </is>
      </c>
      <c r="E374" s="3" t="n"/>
      <c r="F374" s="3" t="n"/>
      <c r="G374" s="3" t="n"/>
      <c r="H374" s="3" t="n"/>
      <c r="I374" s="3" t="n"/>
      <c r="J374" s="3" t="n"/>
    </row>
    <row r="375" ht="63.75" customHeight="1">
      <c r="A375" s="5" t="n"/>
      <c r="B375" s="6" t="n"/>
      <c r="C375" s="5" t="n"/>
      <c r="D375" s="7" t="inlineStr">
        <is>
          <t>Replacement of u/s with new Supply and transportation of LED Driver  with input line voltage 120V-270V AC, 50Hz with surge protection of 4.0 KV, IP20, suitable for 90-180WLED street light fitting. Makes : PHILIPS / OSRAM / GE /  CROMPTON  / BAJAJ / Keselec / VIN / HALONIX / HAVELLS / HPL / SURYA / SYSKA / Jaquar / Arraystorm / GM / Goldmedal.</t>
        </is>
      </c>
      <c r="E375" s="7" t="n"/>
      <c r="F375" s="7" t="n"/>
      <c r="G375" s="7" t="n"/>
      <c r="H375" s="7" t="n"/>
      <c r="I375" s="7" t="n"/>
      <c r="J375" s="7" t="n"/>
    </row>
    <row r="376" ht="25.5" customHeight="1">
      <c r="A376" s="8" t="n"/>
      <c r="B376" s="6" t="inlineStr">
        <is>
          <t>SOR 2025-26</t>
        </is>
      </c>
      <c r="C376" s="6" t="n"/>
      <c r="D376" s="9" t="inlineStr">
        <is>
          <t>a) Material</t>
        </is>
      </c>
      <c r="E376" s="10" t="inlineStr">
        <is>
          <t>Qty</t>
        </is>
      </c>
      <c r="F376" s="6" t="inlineStr">
        <is>
          <t>Unit</t>
        </is>
      </c>
      <c r="G376" s="11" t="inlineStr">
        <is>
          <t>Qty</t>
        </is>
      </c>
      <c r="H376" s="6" t="inlineStr">
        <is>
          <t>Unit</t>
        </is>
      </c>
      <c r="I376" s="10" t="inlineStr">
        <is>
          <t>Rate per item</t>
        </is>
      </c>
      <c r="J376" s="12" t="inlineStr">
        <is>
          <t>Amount</t>
        </is>
      </c>
    </row>
    <row r="377" ht="63.75" customHeight="1">
      <c r="A377" s="8" t="n"/>
      <c r="B377" s="26" t="inlineStr">
        <is>
          <t>ELEC-3.6.3c</t>
        </is>
      </c>
      <c r="C377" s="6" t="n">
        <v>1</v>
      </c>
      <c r="D377" s="9" t="inlineStr">
        <is>
          <t>Supply and transportation of LED Driver  with input line voltage 120V-270V AC, 50Hz with surge protection of 4.0 KV, IP20, suitable for 90-180WLED street light fitting. Makes : PHILIPS / OSRAM / GE /  CROMPTON  / BAJAJ / Keselec / VIN / HALONIX / HAVELLS / HPL / SURYA / SYSKA / Jaquar / Arraystorm / GM / Goldmedal.</t>
        </is>
      </c>
      <c r="E377" s="14" t="n">
        <v>1</v>
      </c>
      <c r="F377" s="14" t="inlineStr">
        <is>
          <t>each</t>
        </is>
      </c>
      <c r="G377" s="14" t="n">
        <v>1</v>
      </c>
      <c r="H377" s="14" t="inlineStr">
        <is>
          <t>each</t>
        </is>
      </c>
      <c r="I377" s="14" t="n">
        <v>1670</v>
      </c>
      <c r="J377" s="12">
        <f>I377*E377</f>
        <v/>
      </c>
    </row>
    <row r="378">
      <c r="A378" s="6" t="n"/>
      <c r="B378" s="6" t="n"/>
      <c r="C378" s="6" t="n"/>
      <c r="D378" s="9" t="inlineStr">
        <is>
          <t>Cost of materials per each</t>
        </is>
      </c>
      <c r="E378" s="10" t="n"/>
      <c r="F378" s="6" t="n"/>
      <c r="G378" s="6" t="n"/>
      <c r="H378" s="6" t="n"/>
      <c r="I378" s="10" t="n"/>
      <c r="J378" s="17">
        <f>J377</f>
        <v/>
      </c>
    </row>
    <row r="379">
      <c r="A379" s="6" t="n"/>
      <c r="B379" s="5" t="n"/>
      <c r="C379" s="6" t="n"/>
      <c r="D379" s="16" t="inlineStr">
        <is>
          <t>Add OH@10.615%</t>
        </is>
      </c>
      <c r="E379" s="17" t="n"/>
      <c r="F379" s="5" t="n"/>
      <c r="G379" s="5" t="n"/>
      <c r="H379" s="5" t="n"/>
      <c r="I379" s="17" t="n"/>
      <c r="J379" s="17">
        <f>10.615%*J378</f>
        <v/>
      </c>
    </row>
    <row r="380">
      <c r="A380" s="6" t="n"/>
      <c r="B380" s="5" t="n"/>
      <c r="C380" s="6" t="n"/>
      <c r="D380" s="16" t="inlineStr">
        <is>
          <t>Total</t>
        </is>
      </c>
      <c r="E380" s="17" t="n"/>
      <c r="F380" s="5" t="n"/>
      <c r="G380" s="5" t="n"/>
      <c r="H380" s="5" t="n"/>
      <c r="I380" s="17" t="n"/>
      <c r="J380" s="17">
        <f>J378+J379</f>
        <v/>
      </c>
    </row>
    <row r="381">
      <c r="A381" s="19" t="n"/>
      <c r="B381" s="20" t="n"/>
      <c r="C381" s="19" t="n"/>
      <c r="D381" s="19" t="n"/>
      <c r="E381" s="19" t="n"/>
      <c r="F381" s="19" t="n"/>
      <c r="G381" s="19" t="n"/>
      <c r="H381" s="19" t="n"/>
      <c r="I381" s="19" t="inlineStr">
        <is>
          <t>Or Say</t>
        </is>
      </c>
      <c r="J381" s="21">
        <f>ROUND(J380,0)</f>
        <v/>
      </c>
    </row>
    <row r="382">
      <c r="A382" s="6" t="n"/>
      <c r="B382" s="5" t="n"/>
      <c r="C382" s="6" t="n"/>
      <c r="D382" s="16" t="n"/>
      <c r="E382" s="17" t="n"/>
      <c r="F382" s="5" t="n"/>
      <c r="G382" s="5" t="n"/>
      <c r="H382" s="5" t="n"/>
      <c r="I382" s="17" t="n"/>
      <c r="J382" s="17" t="n"/>
    </row>
    <row r="383">
      <c r="A383" s="1" t="n"/>
      <c r="B383" s="1" t="n"/>
      <c r="C383" s="1" t="n"/>
      <c r="D383" s="2" t="inlineStr">
        <is>
          <t>12Modular Cover Frame</t>
        </is>
      </c>
      <c r="E383" s="1" t="n"/>
      <c r="F383" s="1" t="n"/>
      <c r="G383" s="1" t="n"/>
      <c r="H383" s="1" t="n"/>
      <c r="I383" s="1" t="n"/>
      <c r="J383" s="1" t="n"/>
    </row>
    <row r="384">
      <c r="A384" s="3" t="n"/>
      <c r="B384" s="3" t="n"/>
      <c r="C384" s="3" t="n"/>
      <c r="D384" s="4" t="inlineStr">
        <is>
          <t xml:space="preserve">Data </t>
        </is>
      </c>
      <c r="E384" s="3" t="n"/>
      <c r="F384" s="3" t="n"/>
      <c r="G384" s="3" t="n"/>
      <c r="H384" s="3" t="n"/>
      <c r="I384" s="3" t="n"/>
      <c r="J384" s="3" t="n"/>
    </row>
    <row r="385" ht="25.5" customHeight="1">
      <c r="A385" s="5" t="n"/>
      <c r="B385" s="6" t="n"/>
      <c r="C385" s="5" t="n"/>
      <c r="D385" s="7" t="inlineStr">
        <is>
          <t xml:space="preserve">Replacement of u/s with new Supply of  12Modular Cover Frame. Makes ::Legrand Lyncus / GM Four Five / Goldmedal Curve / Million Milltech / Anchor Roma Plus </t>
        </is>
      </c>
      <c r="E385" s="7" t="n"/>
      <c r="F385" s="7" t="n"/>
      <c r="G385" s="7" t="n"/>
      <c r="H385" s="7" t="n"/>
      <c r="I385" s="7" t="n"/>
      <c r="J385" s="7" t="n"/>
    </row>
    <row r="386" ht="25.5" customHeight="1">
      <c r="A386" s="8" t="n"/>
      <c r="B386" s="6" t="inlineStr">
        <is>
          <t>SOR 2025-26</t>
        </is>
      </c>
      <c r="C386" s="6" t="n"/>
      <c r="D386" s="9" t="inlineStr">
        <is>
          <t>a) Material</t>
        </is>
      </c>
      <c r="E386" s="10" t="inlineStr">
        <is>
          <t>Qty</t>
        </is>
      </c>
      <c r="F386" s="6" t="inlineStr">
        <is>
          <t>Unit</t>
        </is>
      </c>
      <c r="G386" s="11" t="inlineStr">
        <is>
          <t>Qty</t>
        </is>
      </c>
      <c r="H386" s="6" t="inlineStr">
        <is>
          <t>Unit</t>
        </is>
      </c>
      <c r="I386" s="10" t="inlineStr">
        <is>
          <t>Rate per item</t>
        </is>
      </c>
      <c r="J386" s="12" t="inlineStr">
        <is>
          <t>Amount</t>
        </is>
      </c>
    </row>
    <row r="387" ht="25.5" customHeight="1">
      <c r="A387" s="8" t="n"/>
      <c r="B387" s="26" t="inlineStr">
        <is>
          <t>ELEC-1.3.4f</t>
        </is>
      </c>
      <c r="C387" s="6" t="n">
        <v>1</v>
      </c>
      <c r="D387" s="9" t="inlineStr">
        <is>
          <t xml:space="preserve"> Supply of  12Modular Cover Frame. Makes :Legrand Lyncus / GM Four Five / Goldmedal Curve / Million Milltech / Anchor Roma Plus </t>
        </is>
      </c>
      <c r="E387" s="14" t="n">
        <v>1</v>
      </c>
      <c r="F387" s="14" t="inlineStr">
        <is>
          <t>each</t>
        </is>
      </c>
      <c r="G387" s="14" t="n">
        <v>1</v>
      </c>
      <c r="H387" s="14" t="inlineStr">
        <is>
          <t>each</t>
        </is>
      </c>
      <c r="I387" s="14" t="n">
        <v>230</v>
      </c>
      <c r="J387" s="12">
        <f>I387*E387</f>
        <v/>
      </c>
    </row>
    <row r="388">
      <c r="A388" s="6" t="n"/>
      <c r="B388" s="6" t="n"/>
      <c r="C388" s="6" t="n"/>
      <c r="D388" s="9" t="inlineStr">
        <is>
          <t>Cost of materials per each</t>
        </is>
      </c>
      <c r="E388" s="10" t="n"/>
      <c r="F388" s="6" t="n"/>
      <c r="G388" s="6" t="n"/>
      <c r="H388" s="6" t="n"/>
      <c r="I388" s="10" t="n"/>
      <c r="J388" s="17">
        <f>J387</f>
        <v/>
      </c>
    </row>
    <row r="389">
      <c r="A389" s="6" t="n"/>
      <c r="B389" s="5" t="n"/>
      <c r="C389" s="6" t="n"/>
      <c r="D389" s="16" t="inlineStr">
        <is>
          <t>Add OH@10.615%</t>
        </is>
      </c>
      <c r="E389" s="17" t="n"/>
      <c r="F389" s="5" t="n"/>
      <c r="G389" s="5" t="n"/>
      <c r="H389" s="5" t="n"/>
      <c r="I389" s="17" t="n"/>
      <c r="J389" s="17">
        <f>10.615%*J388</f>
        <v/>
      </c>
    </row>
    <row r="390">
      <c r="A390" s="6" t="n"/>
      <c r="B390" s="5" t="n"/>
      <c r="C390" s="6" t="n"/>
      <c r="D390" s="16" t="inlineStr">
        <is>
          <t>Total</t>
        </is>
      </c>
      <c r="E390" s="17" t="n"/>
      <c r="F390" s="5" t="n"/>
      <c r="G390" s="5" t="n"/>
      <c r="H390" s="5" t="n"/>
      <c r="I390" s="17" t="n"/>
      <c r="J390" s="17">
        <f>J388+J389</f>
        <v/>
      </c>
    </row>
    <row r="391">
      <c r="A391" s="19" t="n"/>
      <c r="B391" s="20" t="n"/>
      <c r="C391" s="19" t="n"/>
      <c r="D391" s="19" t="n"/>
      <c r="E391" s="19" t="n"/>
      <c r="F391" s="19" t="n"/>
      <c r="G391" s="19" t="n"/>
      <c r="H391" s="19" t="n"/>
      <c r="I391" s="19" t="inlineStr">
        <is>
          <t>Or Say</t>
        </is>
      </c>
      <c r="J391" s="21">
        <f>ROUND(J390,0)</f>
        <v/>
      </c>
    </row>
    <row r="392">
      <c r="A392" s="1" t="n"/>
      <c r="B392" s="1" t="n"/>
      <c r="C392" s="1" t="n"/>
      <c r="D392" s="2" t="inlineStr">
        <is>
          <t xml:space="preserve"> 8 or 9 Modular Cover Frame</t>
        </is>
      </c>
      <c r="E392" s="1" t="n"/>
      <c r="F392" s="1" t="n"/>
      <c r="G392" s="1" t="n"/>
      <c r="H392" s="1" t="n"/>
      <c r="I392" s="1" t="n"/>
      <c r="J392" s="1" t="n"/>
    </row>
    <row r="393">
      <c r="A393" s="3" t="n"/>
      <c r="B393" s="3" t="n"/>
      <c r="C393" s="3" t="n"/>
      <c r="D393" s="4" t="inlineStr">
        <is>
          <t xml:space="preserve">Data </t>
        </is>
      </c>
      <c r="E393" s="3" t="n"/>
      <c r="F393" s="3" t="n"/>
      <c r="G393" s="3" t="n"/>
      <c r="H393" s="3" t="n"/>
      <c r="I393" s="3" t="n"/>
      <c r="J393" s="3" t="n"/>
    </row>
    <row r="394" ht="51" customHeight="1">
      <c r="A394" s="5" t="n"/>
      <c r="B394" s="6" t="n"/>
      <c r="C394" s="5" t="n"/>
      <c r="D394" s="7" t="inlineStr">
        <is>
          <t xml:space="preserve">Replacement of u/s with new Supply of  8 or 9 Modular Cover Frame. Makes :Legrand Lyncus / GM Four Five / Goldmedal Curve / Million Milltech / Anchor Roma Plus 
 </t>
        </is>
      </c>
      <c r="E394" s="7" t="n"/>
      <c r="F394" s="7" t="n"/>
      <c r="G394" s="7" t="n"/>
      <c r="H394" s="7" t="n"/>
      <c r="I394" s="7" t="n"/>
      <c r="J394" s="7" t="n"/>
    </row>
    <row r="395" ht="25.5" customHeight="1">
      <c r="A395" s="8" t="n"/>
      <c r="B395" s="6" t="inlineStr">
        <is>
          <t>SOR 2025-26</t>
        </is>
      </c>
      <c r="C395" s="6" t="n"/>
      <c r="D395" s="9" t="inlineStr">
        <is>
          <t>a) Material</t>
        </is>
      </c>
      <c r="E395" s="10" t="inlineStr">
        <is>
          <t>Qty</t>
        </is>
      </c>
      <c r="F395" s="6" t="inlineStr">
        <is>
          <t>Unit</t>
        </is>
      </c>
      <c r="G395" s="11" t="inlineStr">
        <is>
          <t>Qty</t>
        </is>
      </c>
      <c r="H395" s="6" t="inlineStr">
        <is>
          <t>Unit</t>
        </is>
      </c>
      <c r="I395" s="10" t="inlineStr">
        <is>
          <t>Rate per item</t>
        </is>
      </c>
      <c r="J395" s="12" t="inlineStr">
        <is>
          <t>Amount</t>
        </is>
      </c>
    </row>
    <row r="396" ht="25.5" customHeight="1">
      <c r="A396" s="8" t="n"/>
      <c r="B396" s="26" t="inlineStr">
        <is>
          <t>ELEC-1.3.4e</t>
        </is>
      </c>
      <c r="C396" s="6" t="n">
        <v>1</v>
      </c>
      <c r="D396" s="9" t="inlineStr">
        <is>
          <t xml:space="preserve">Supply of  8 or 9 Modular Cover Frame. Makes Legrand Lyncus / GM Four Five / Goldmedal Curve / Million Milltech / Anchor Roma Plus </t>
        </is>
      </c>
      <c r="E396" s="14" t="n">
        <v>1</v>
      </c>
      <c r="F396" s="14" t="inlineStr">
        <is>
          <t>each</t>
        </is>
      </c>
      <c r="G396" s="14" t="n">
        <v>1</v>
      </c>
      <c r="H396" s="14" t="inlineStr">
        <is>
          <t>each</t>
        </is>
      </c>
      <c r="I396" s="14" t="n">
        <v>185</v>
      </c>
      <c r="J396" s="12">
        <f>I396*E396</f>
        <v/>
      </c>
    </row>
    <row r="397">
      <c r="A397" s="6" t="n"/>
      <c r="B397" s="6" t="n"/>
      <c r="C397" s="6" t="n"/>
      <c r="D397" s="9" t="inlineStr">
        <is>
          <t>Cost of materials per each</t>
        </is>
      </c>
      <c r="E397" s="10" t="n"/>
      <c r="F397" s="6" t="n"/>
      <c r="G397" s="6" t="n"/>
      <c r="H397" s="6" t="n"/>
      <c r="I397" s="10" t="n"/>
      <c r="J397" s="17">
        <f>J396</f>
        <v/>
      </c>
    </row>
    <row r="398">
      <c r="A398" s="6" t="n"/>
      <c r="B398" s="5" t="n"/>
      <c r="C398" s="6" t="n"/>
      <c r="D398" s="16" t="inlineStr">
        <is>
          <t>Add OH@10.615%</t>
        </is>
      </c>
      <c r="E398" s="17" t="n"/>
      <c r="F398" s="5" t="n"/>
      <c r="G398" s="5" t="n"/>
      <c r="H398" s="5" t="n"/>
      <c r="I398" s="17" t="n"/>
      <c r="J398" s="17">
        <f>10.615%*J397</f>
        <v/>
      </c>
    </row>
    <row r="399">
      <c r="A399" s="6" t="n"/>
      <c r="B399" s="5" t="n"/>
      <c r="C399" s="6" t="n"/>
      <c r="D399" s="16" t="inlineStr">
        <is>
          <t>Total</t>
        </is>
      </c>
      <c r="E399" s="17" t="n"/>
      <c r="F399" s="5" t="n"/>
      <c r="G399" s="5" t="n"/>
      <c r="H399" s="5" t="n"/>
      <c r="I399" s="17" t="n"/>
      <c r="J399" s="17">
        <f>J397+J398</f>
        <v/>
      </c>
    </row>
    <row r="400">
      <c r="A400" s="19" t="n"/>
      <c r="B400" s="20" t="n"/>
      <c r="C400" s="19" t="n"/>
      <c r="D400" s="19" t="n"/>
      <c r="E400" s="19" t="n"/>
      <c r="F400" s="19" t="n"/>
      <c r="G400" s="19" t="n"/>
      <c r="H400" s="19" t="n"/>
      <c r="I400" s="19" t="inlineStr">
        <is>
          <t>Or Say</t>
        </is>
      </c>
      <c r="J400" s="21">
        <f>ROUND(J399,0)</f>
        <v/>
      </c>
    </row>
    <row r="401">
      <c r="A401" s="1" t="n"/>
      <c r="B401" s="1" t="n"/>
      <c r="C401" s="1" t="n"/>
      <c r="D401" s="2" t="inlineStr">
        <is>
          <t>6 Modular Cover Frame</t>
        </is>
      </c>
      <c r="E401" s="1" t="n"/>
      <c r="F401" s="1" t="n"/>
      <c r="G401" s="1" t="n"/>
      <c r="H401" s="1" t="n"/>
      <c r="I401" s="1" t="n"/>
      <c r="J401" s="1" t="n"/>
    </row>
    <row r="402">
      <c r="A402" s="3" t="n"/>
      <c r="B402" s="3" t="n"/>
      <c r="C402" s="3" t="n"/>
      <c r="D402" s="4" t="inlineStr">
        <is>
          <t xml:space="preserve">Data </t>
        </is>
      </c>
      <c r="E402" s="3" t="n"/>
      <c r="F402" s="3" t="n"/>
      <c r="G402" s="3" t="n"/>
      <c r="H402" s="3" t="n"/>
      <c r="I402" s="3" t="n"/>
      <c r="J402" s="3" t="n"/>
    </row>
    <row r="403" ht="38.25" customHeight="1">
      <c r="A403" s="5" t="n"/>
      <c r="B403" s="6" t="n"/>
      <c r="C403" s="5" t="n"/>
      <c r="D403" s="7" t="inlineStr">
        <is>
          <t xml:space="preserve">Replacement of u/s with new Supply of  6 Modular Cover Frame. Makes ::Legrand Lyncus / GM Four Five / Goldmedal Curve / Million Milltech / Anchor Roma Plus 
 </t>
        </is>
      </c>
      <c r="E403" s="7" t="n"/>
      <c r="F403" s="7" t="n"/>
      <c r="G403" s="7" t="n"/>
      <c r="H403" s="7" t="n"/>
      <c r="I403" s="7" t="n"/>
      <c r="J403" s="7" t="n"/>
    </row>
    <row r="404" ht="25.5" customHeight="1">
      <c r="A404" s="8" t="n"/>
      <c r="B404" s="6" t="inlineStr">
        <is>
          <t>SOR 2025-26</t>
        </is>
      </c>
      <c r="C404" s="6" t="n"/>
      <c r="D404" s="9" t="inlineStr">
        <is>
          <t>a) Material</t>
        </is>
      </c>
      <c r="E404" s="10" t="inlineStr">
        <is>
          <t>Qty</t>
        </is>
      </c>
      <c r="F404" s="6" t="inlineStr">
        <is>
          <t>Unit</t>
        </is>
      </c>
      <c r="G404" s="11" t="inlineStr">
        <is>
          <t>Qty</t>
        </is>
      </c>
      <c r="H404" s="6" t="inlineStr">
        <is>
          <t>Unit</t>
        </is>
      </c>
      <c r="I404" s="10" t="inlineStr">
        <is>
          <t>Rate per item</t>
        </is>
      </c>
      <c r="J404" s="12" t="inlineStr">
        <is>
          <t>Amount</t>
        </is>
      </c>
    </row>
    <row r="405" ht="25.5" customHeight="1">
      <c r="A405" s="8" t="n"/>
      <c r="B405" s="26" t="inlineStr">
        <is>
          <t>ELEC-1.3.4d</t>
        </is>
      </c>
      <c r="C405" s="6" t="n">
        <v>1</v>
      </c>
      <c r="D405" s="9" t="inlineStr">
        <is>
          <t xml:space="preserve">Supply of  6 Modular Cover Frame. Makes :Legrand Lyncus / GM Four Five / Goldmedal Curve / Million Milltech / Anchor Roma Plus </t>
        </is>
      </c>
      <c r="E405" s="14" t="n">
        <v>1</v>
      </c>
      <c r="F405" s="14" t="inlineStr">
        <is>
          <t>each</t>
        </is>
      </c>
      <c r="G405" s="14" t="n">
        <v>1</v>
      </c>
      <c r="H405" s="14" t="inlineStr">
        <is>
          <t>each</t>
        </is>
      </c>
      <c r="I405" s="14" t="n">
        <v>150</v>
      </c>
      <c r="J405" s="12">
        <f>I405*E405</f>
        <v/>
      </c>
    </row>
    <row r="406">
      <c r="A406" s="6" t="n"/>
      <c r="B406" s="6" t="n"/>
      <c r="C406" s="6" t="n"/>
      <c r="D406" s="9" t="inlineStr">
        <is>
          <t>Cost of materials per each</t>
        </is>
      </c>
      <c r="E406" s="10" t="n"/>
      <c r="F406" s="6" t="n"/>
      <c r="G406" s="6" t="n"/>
      <c r="H406" s="6" t="n"/>
      <c r="I406" s="10" t="n"/>
      <c r="J406" s="17">
        <f>J405</f>
        <v/>
      </c>
    </row>
    <row r="407">
      <c r="A407" s="6" t="n"/>
      <c r="B407" s="5" t="n"/>
      <c r="C407" s="6" t="n"/>
      <c r="D407" s="16" t="inlineStr">
        <is>
          <t>Add OH@10.615%</t>
        </is>
      </c>
      <c r="E407" s="17" t="n"/>
      <c r="F407" s="5" t="n"/>
      <c r="G407" s="5" t="n"/>
      <c r="H407" s="5" t="n"/>
      <c r="I407" s="17" t="n"/>
      <c r="J407" s="17">
        <f>10.615%*J406</f>
        <v/>
      </c>
    </row>
    <row r="408">
      <c r="A408" s="6" t="n"/>
      <c r="B408" s="5" t="n"/>
      <c r="C408" s="6" t="n"/>
      <c r="D408" s="16" t="inlineStr">
        <is>
          <t>Total</t>
        </is>
      </c>
      <c r="E408" s="17" t="n"/>
      <c r="F408" s="5" t="n"/>
      <c r="G408" s="5" t="n"/>
      <c r="H408" s="5" t="n"/>
      <c r="I408" s="17" t="n"/>
      <c r="J408" s="17">
        <f>J406+J407</f>
        <v/>
      </c>
    </row>
    <row r="409">
      <c r="A409" s="19" t="n"/>
      <c r="B409" s="20" t="n"/>
      <c r="C409" s="19" t="n"/>
      <c r="D409" s="19" t="n"/>
      <c r="E409" s="19" t="n"/>
      <c r="F409" s="19" t="n"/>
      <c r="G409" s="19" t="n"/>
      <c r="H409" s="19" t="n"/>
      <c r="I409" s="19" t="inlineStr">
        <is>
          <t>Or Say</t>
        </is>
      </c>
      <c r="J409" s="21">
        <f>ROUND(J408,0)</f>
        <v/>
      </c>
    </row>
    <row r="410">
      <c r="A410" s="1" t="n"/>
      <c r="B410" s="1" t="n"/>
      <c r="C410" s="1" t="n"/>
      <c r="D410" s="2" t="inlineStr">
        <is>
          <t>4 Modular Cover Frame</t>
        </is>
      </c>
      <c r="E410" s="1" t="n"/>
      <c r="F410" s="1" t="n"/>
      <c r="G410" s="1" t="n"/>
      <c r="H410" s="1" t="n"/>
      <c r="I410" s="1" t="n"/>
      <c r="J410" s="1" t="n"/>
    </row>
    <row r="411">
      <c r="A411" s="3" t="n"/>
      <c r="B411" s="3" t="n"/>
      <c r="C411" s="3" t="n"/>
      <c r="D411" s="4" t="inlineStr">
        <is>
          <t xml:space="preserve">Data </t>
        </is>
      </c>
      <c r="E411" s="3" t="n"/>
      <c r="F411" s="3" t="n"/>
      <c r="G411" s="3" t="n"/>
      <c r="H411" s="3" t="n"/>
      <c r="I411" s="3" t="n"/>
      <c r="J411" s="3" t="n"/>
    </row>
    <row r="412" ht="38.25" customHeight="1">
      <c r="A412" s="5" t="n"/>
      <c r="B412" s="6" t="n"/>
      <c r="C412" s="5" t="n"/>
      <c r="D412" s="7" t="inlineStr">
        <is>
          <t xml:space="preserve">Replacement of u/s with new Supply of  4 Modular Cover Frame. Makes ::Legrand Lyncus / GM Four Five / Goldmedal Curve / Million Milltech / Anchor Roma Plus 
 </t>
        </is>
      </c>
      <c r="E412" s="7" t="n"/>
      <c r="F412" s="7" t="n"/>
      <c r="G412" s="7" t="n"/>
      <c r="H412" s="7" t="n"/>
      <c r="I412" s="7" t="n"/>
      <c r="J412" s="7" t="n"/>
    </row>
    <row r="413" ht="25.5" customHeight="1">
      <c r="A413" s="8" t="n"/>
      <c r="B413" s="6" t="inlineStr">
        <is>
          <t>SOR 2025-26</t>
        </is>
      </c>
      <c r="C413" s="6" t="n"/>
      <c r="D413" s="9" t="inlineStr">
        <is>
          <t>a) Material</t>
        </is>
      </c>
      <c r="E413" s="10" t="inlineStr">
        <is>
          <t>Qty</t>
        </is>
      </c>
      <c r="F413" s="6" t="inlineStr">
        <is>
          <t>Unit</t>
        </is>
      </c>
      <c r="G413" s="11" t="inlineStr">
        <is>
          <t>Qty</t>
        </is>
      </c>
      <c r="H413" s="6" t="inlineStr">
        <is>
          <t>Unit</t>
        </is>
      </c>
      <c r="I413" s="10" t="inlineStr">
        <is>
          <t>Rate per item</t>
        </is>
      </c>
      <c r="J413" s="12" t="inlineStr">
        <is>
          <t>Amount</t>
        </is>
      </c>
    </row>
    <row r="414" ht="25.5" customHeight="1">
      <c r="A414" s="8" t="n"/>
      <c r="B414" s="26" t="inlineStr">
        <is>
          <t>ELEC-1.3.4c</t>
        </is>
      </c>
      <c r="C414" s="6" t="n">
        <v>1</v>
      </c>
      <c r="D414" s="9" t="inlineStr">
        <is>
          <t xml:space="preserve">Supply of  4  Modular Cover Frame. Makes :Legrand Lyncus / GM Four Five / Goldmedal Curve / Million Milltech / Anchor Roma Plus </t>
        </is>
      </c>
      <c r="E414" s="14" t="n">
        <v>1</v>
      </c>
      <c r="F414" s="14" t="inlineStr">
        <is>
          <t>each</t>
        </is>
      </c>
      <c r="G414" s="14" t="n">
        <v>1</v>
      </c>
      <c r="H414" s="14" t="inlineStr">
        <is>
          <t>each</t>
        </is>
      </c>
      <c r="I414" s="14" t="n">
        <v>110</v>
      </c>
      <c r="J414" s="12">
        <f>I414*E414</f>
        <v/>
      </c>
    </row>
    <row r="415">
      <c r="A415" s="6" t="n"/>
      <c r="B415" s="6" t="n"/>
      <c r="C415" s="6" t="n"/>
      <c r="D415" s="9" t="inlineStr">
        <is>
          <t>Cost of materials per each</t>
        </is>
      </c>
      <c r="E415" s="10" t="n"/>
      <c r="F415" s="6" t="n"/>
      <c r="G415" s="6" t="n"/>
      <c r="H415" s="6" t="n"/>
      <c r="I415" s="10" t="n"/>
      <c r="J415" s="17">
        <f>J414</f>
        <v/>
      </c>
    </row>
    <row r="416">
      <c r="A416" s="6" t="n"/>
      <c r="B416" s="5" t="n"/>
      <c r="C416" s="6" t="n"/>
      <c r="D416" s="16" t="inlineStr">
        <is>
          <t>Add OH@10.615%</t>
        </is>
      </c>
      <c r="E416" s="17" t="n"/>
      <c r="F416" s="5" t="n"/>
      <c r="G416" s="5" t="n"/>
      <c r="H416" s="5" t="n"/>
      <c r="I416" s="17" t="n"/>
      <c r="J416" s="17">
        <f>10.615%*J415</f>
        <v/>
      </c>
    </row>
    <row r="417">
      <c r="A417" s="6" t="n"/>
      <c r="B417" s="5" t="n"/>
      <c r="C417" s="6" t="n"/>
      <c r="D417" s="16" t="inlineStr">
        <is>
          <t>Total</t>
        </is>
      </c>
      <c r="E417" s="17" t="n"/>
      <c r="F417" s="5" t="n"/>
      <c r="G417" s="5" t="n"/>
      <c r="H417" s="5" t="n"/>
      <c r="I417" s="17" t="n"/>
      <c r="J417" s="17">
        <f>J415+J416</f>
        <v/>
      </c>
    </row>
    <row r="418">
      <c r="A418" s="19" t="n"/>
      <c r="B418" s="20" t="n"/>
      <c r="C418" s="19" t="n"/>
      <c r="D418" s="19" t="n"/>
      <c r="E418" s="19" t="n"/>
      <c r="F418" s="19" t="n"/>
      <c r="G418" s="19" t="n"/>
      <c r="H418" s="19" t="n"/>
      <c r="I418" s="19" t="inlineStr">
        <is>
          <t>Or Say</t>
        </is>
      </c>
      <c r="J418" s="21">
        <f>ROUND(J417,0)</f>
        <v/>
      </c>
    </row>
    <row r="419">
      <c r="A419" s="6" t="n"/>
      <c r="B419" s="5" t="n"/>
      <c r="C419" s="6" t="n"/>
      <c r="D419" s="16" t="n"/>
      <c r="E419" s="17" t="n"/>
      <c r="F419" s="5" t="n"/>
      <c r="G419" s="5" t="n"/>
      <c r="H419" s="5" t="n"/>
      <c r="I419" s="17" t="n"/>
      <c r="J419" s="17" t="n"/>
    </row>
    <row r="420">
      <c r="A420" s="1" t="n"/>
      <c r="B420" s="1" t="n"/>
      <c r="C420" s="1" t="n"/>
      <c r="D420" s="2" t="inlineStr">
        <is>
          <t xml:space="preserve"> 3 Modular Cover Frame</t>
        </is>
      </c>
      <c r="E420" s="1" t="n"/>
      <c r="F420" s="1" t="n"/>
      <c r="G420" s="1" t="n"/>
      <c r="H420" s="1" t="n"/>
      <c r="I420" s="1" t="n"/>
      <c r="J420" s="1" t="n"/>
    </row>
    <row r="421">
      <c r="A421" s="3" t="n"/>
      <c r="B421" s="3" t="n"/>
      <c r="C421" s="3" t="n"/>
      <c r="D421" s="4" t="inlineStr">
        <is>
          <t xml:space="preserve">Data </t>
        </is>
      </c>
      <c r="E421" s="3" t="n"/>
      <c r="F421" s="3" t="n"/>
      <c r="G421" s="3" t="n"/>
      <c r="H421" s="3" t="n"/>
      <c r="I421" s="3" t="n"/>
      <c r="J421" s="3" t="n"/>
    </row>
    <row r="422" ht="38.25" customHeight="1">
      <c r="A422" s="5" t="n"/>
      <c r="B422" s="6" t="n"/>
      <c r="C422" s="5" t="n"/>
      <c r="D422" s="7" t="inlineStr">
        <is>
          <t xml:space="preserve">Replacement of u/s with new Supply of  3 Modular Cover Frame. Makes :Legrand Lyncus / GM Four Five / Goldmedal Curve / Million Milltech / Anchor Roma Plus 
 </t>
        </is>
      </c>
      <c r="E422" s="7" t="n"/>
      <c r="F422" s="7" t="n"/>
      <c r="G422" s="7" t="n"/>
      <c r="H422" s="7" t="n"/>
      <c r="I422" s="7" t="n"/>
      <c r="J422" s="7" t="n"/>
    </row>
    <row r="423" ht="25.5" customHeight="1">
      <c r="A423" s="8" t="n"/>
      <c r="B423" s="6" t="inlineStr">
        <is>
          <t>SOR 2025-26</t>
        </is>
      </c>
      <c r="C423" s="6" t="n"/>
      <c r="D423" s="9" t="inlineStr">
        <is>
          <t>a) Material</t>
        </is>
      </c>
      <c r="E423" s="10" t="inlineStr">
        <is>
          <t>Qty</t>
        </is>
      </c>
      <c r="F423" s="6" t="inlineStr">
        <is>
          <t>Unit</t>
        </is>
      </c>
      <c r="G423" s="11" t="inlineStr">
        <is>
          <t>Qty</t>
        </is>
      </c>
      <c r="H423" s="6" t="inlineStr">
        <is>
          <t>Unit</t>
        </is>
      </c>
      <c r="I423" s="10" t="inlineStr">
        <is>
          <t>Rate per item</t>
        </is>
      </c>
      <c r="J423" s="12" t="inlineStr">
        <is>
          <t>Amount</t>
        </is>
      </c>
    </row>
    <row r="424" ht="25.5" customHeight="1">
      <c r="A424" s="8" t="n"/>
      <c r="B424" s="26" t="inlineStr">
        <is>
          <t>ELEC-1.3.4b</t>
        </is>
      </c>
      <c r="C424" s="6" t="n">
        <v>1</v>
      </c>
      <c r="D424" s="9" t="inlineStr">
        <is>
          <t xml:space="preserve">Supply of  3 Modular Cover Frame. Makes :: Legrand Lyncus / GM Four Five / Goldmedal Curve / Million Milltech / Anchor Roma Plus </t>
        </is>
      </c>
      <c r="E424" s="14" t="n">
        <v>1</v>
      </c>
      <c r="F424" s="14" t="inlineStr">
        <is>
          <t>each</t>
        </is>
      </c>
      <c r="G424" s="14" t="n">
        <v>1</v>
      </c>
      <c r="H424" s="14" t="inlineStr">
        <is>
          <t>each</t>
        </is>
      </c>
      <c r="I424" s="14" t="n">
        <v>95</v>
      </c>
      <c r="J424" s="12">
        <f>I424*E424</f>
        <v/>
      </c>
    </row>
    <row r="425">
      <c r="A425" s="6" t="n"/>
      <c r="B425" s="6" t="n"/>
      <c r="C425" s="6" t="n"/>
      <c r="D425" s="9" t="inlineStr">
        <is>
          <t>Cost of materials per each</t>
        </is>
      </c>
      <c r="E425" s="10" t="n"/>
      <c r="F425" s="6" t="n"/>
      <c r="G425" s="6" t="n"/>
      <c r="H425" s="6" t="n"/>
      <c r="I425" s="10" t="n"/>
      <c r="J425" s="17">
        <f>J424</f>
        <v/>
      </c>
    </row>
    <row r="426">
      <c r="A426" s="6" t="n"/>
      <c r="B426" s="5" t="n"/>
      <c r="C426" s="6" t="n"/>
      <c r="D426" s="16" t="inlineStr">
        <is>
          <t>Add OH@10.615%</t>
        </is>
      </c>
      <c r="E426" s="17" t="n"/>
      <c r="F426" s="5" t="n"/>
      <c r="G426" s="5" t="n"/>
      <c r="H426" s="5" t="n"/>
      <c r="I426" s="17" t="n"/>
      <c r="J426" s="17">
        <f>10.615%*J425</f>
        <v/>
      </c>
    </row>
    <row r="427">
      <c r="A427" s="6" t="n"/>
      <c r="B427" s="5" t="n"/>
      <c r="C427" s="6" t="n"/>
      <c r="D427" s="16" t="inlineStr">
        <is>
          <t>Total</t>
        </is>
      </c>
      <c r="E427" s="17" t="n"/>
      <c r="F427" s="5" t="n"/>
      <c r="G427" s="5" t="n"/>
      <c r="H427" s="5" t="n"/>
      <c r="I427" s="17" t="n"/>
      <c r="J427" s="17">
        <f>J425+J426</f>
        <v/>
      </c>
    </row>
    <row r="428">
      <c r="A428" s="19" t="n"/>
      <c r="B428" s="20" t="n"/>
      <c r="C428" s="19" t="n"/>
      <c r="D428" s="19" t="n"/>
      <c r="E428" s="19" t="n"/>
      <c r="F428" s="19" t="n"/>
      <c r="G428" s="19" t="n"/>
      <c r="H428" s="19" t="n"/>
      <c r="I428" s="19" t="inlineStr">
        <is>
          <t>Or Say</t>
        </is>
      </c>
      <c r="J428" s="21">
        <f>ROUND(J427,0)</f>
        <v/>
      </c>
    </row>
    <row r="429">
      <c r="A429" s="1" t="n"/>
      <c r="B429" s="1" t="n"/>
      <c r="C429" s="1" t="n"/>
      <c r="D429" s="2" t="inlineStr">
        <is>
          <t>2.5 Sqmm  3 Core PVC / XLPE Cable</t>
        </is>
      </c>
      <c r="E429" s="1" t="n"/>
      <c r="F429" s="1" t="n"/>
      <c r="G429" s="1" t="n"/>
      <c r="H429" s="1" t="n"/>
      <c r="I429" s="1" t="n"/>
      <c r="J429" s="1" t="n"/>
    </row>
    <row r="430">
      <c r="A430" s="3" t="n"/>
      <c r="B430" s="3" t="n"/>
      <c r="C430" s="3" t="n"/>
      <c r="D430" s="4" t="inlineStr">
        <is>
          <t xml:space="preserve">Data </t>
        </is>
      </c>
      <c r="E430" s="3" t="n"/>
      <c r="F430" s="3" t="n"/>
      <c r="G430" s="3" t="n"/>
      <c r="H430" s="3" t="n"/>
      <c r="I430" s="3" t="n"/>
      <c r="J430" s="3" t="n"/>
    </row>
    <row r="431" ht="51" customHeight="1">
      <c r="A431" s="5" t="n"/>
      <c r="B431" s="6" t="n"/>
      <c r="C431" s="5" t="n"/>
      <c r="D431" s="7" t="inlineStr">
        <is>
          <t>Rewiring new Supply of 2.5 Sqmm  3 Core. PVC / XLPE Insulated Sheathed Multi Core Bright Annealed Bare Copper Conductor Heavy Duty Industrial Cables for Voltage Grade upto 1100 Volts as per IS: 694:2010 including all transportation charges etc complete. Makes : Finolex / RR kabel / Havells / Polycab</t>
        </is>
      </c>
      <c r="E431" s="7" t="n"/>
      <c r="F431" s="7" t="n"/>
      <c r="G431" s="7" t="n"/>
      <c r="H431" s="7" t="n"/>
      <c r="I431" s="7" t="n"/>
      <c r="J431" s="7" t="n"/>
    </row>
    <row r="432" ht="25.5" customHeight="1">
      <c r="A432" s="8" t="n"/>
      <c r="B432" s="6" t="inlineStr">
        <is>
          <t>SOR 2025-26</t>
        </is>
      </c>
      <c r="C432" s="6" t="n"/>
      <c r="D432" s="9" t="inlineStr">
        <is>
          <t>a) Material</t>
        </is>
      </c>
      <c r="E432" s="10" t="inlineStr">
        <is>
          <t>Qty</t>
        </is>
      </c>
      <c r="F432" s="6" t="inlineStr">
        <is>
          <t>Unit</t>
        </is>
      </c>
      <c r="G432" s="11" t="inlineStr">
        <is>
          <t>Qty</t>
        </is>
      </c>
      <c r="H432" s="6" t="inlineStr">
        <is>
          <t>Unit</t>
        </is>
      </c>
      <c r="I432" s="10" t="inlineStr">
        <is>
          <t>Rate per item</t>
        </is>
      </c>
      <c r="J432" s="12" t="inlineStr">
        <is>
          <t>Amount</t>
        </is>
      </c>
    </row>
    <row r="433" ht="51" customHeight="1">
      <c r="A433" s="8" t="n"/>
      <c r="B433" s="26" t="inlineStr">
        <is>
          <t>ELEC-1.5.5 n</t>
        </is>
      </c>
      <c r="C433" s="6" t="n">
        <v>1</v>
      </c>
      <c r="D433" s="9" t="inlineStr">
        <is>
          <t xml:space="preserve"> Supply of 2.5 Sqmm  3 Core. PVC / XLPE Insulated Sheathed Multi Core Bright Annealed Bare Copper Conductor Heavy Duty Industrial Cables for Voltage Grade upto 1100 Volts as per IS: 694:2010 including all transportation charges etc complete. Makes : Finolex / RR kabel / Havells / Polycab </t>
        </is>
      </c>
      <c r="E433" s="14" t="n">
        <v>1</v>
      </c>
      <c r="F433" s="14" t="inlineStr">
        <is>
          <t>each</t>
        </is>
      </c>
      <c r="G433" s="14" t="n">
        <v>1</v>
      </c>
      <c r="H433" s="14" t="inlineStr">
        <is>
          <t>each</t>
        </is>
      </c>
      <c r="I433" s="14" t="n">
        <v>154</v>
      </c>
      <c r="J433" s="12">
        <f>I433*E433</f>
        <v/>
      </c>
    </row>
    <row r="434">
      <c r="A434" s="6" t="n"/>
      <c r="B434" s="6" t="n"/>
      <c r="C434" s="6" t="n"/>
      <c r="D434" s="9" t="inlineStr">
        <is>
          <t>Cost of materials per each</t>
        </is>
      </c>
      <c r="E434" s="10" t="n"/>
      <c r="F434" s="6" t="n"/>
      <c r="G434" s="6" t="n"/>
      <c r="H434" s="6" t="n"/>
      <c r="I434" s="10" t="n"/>
      <c r="J434" s="17">
        <f>J433</f>
        <v/>
      </c>
    </row>
    <row r="435">
      <c r="A435" s="6" t="n"/>
      <c r="B435" s="5" t="n"/>
      <c r="C435" s="6" t="n"/>
      <c r="D435" s="16" t="inlineStr">
        <is>
          <t>Add OH@10.615%</t>
        </is>
      </c>
      <c r="E435" s="17" t="n"/>
      <c r="F435" s="5" t="n"/>
      <c r="G435" s="5" t="n"/>
      <c r="H435" s="5" t="n"/>
      <c r="I435" s="17" t="n"/>
      <c r="J435" s="17">
        <f>10.615%*J434</f>
        <v/>
      </c>
    </row>
    <row r="436">
      <c r="A436" s="6" t="n"/>
      <c r="B436" s="5" t="n"/>
      <c r="C436" s="6" t="n"/>
      <c r="D436" s="16" t="inlineStr">
        <is>
          <t>Total</t>
        </is>
      </c>
      <c r="E436" s="17" t="n"/>
      <c r="F436" s="5" t="n"/>
      <c r="G436" s="5" t="n"/>
      <c r="H436" s="5" t="n"/>
      <c r="I436" s="17" t="n"/>
      <c r="J436" s="17">
        <f>J434+J435</f>
        <v/>
      </c>
    </row>
    <row r="437">
      <c r="A437" s="19" t="n"/>
      <c r="B437" s="20" t="n"/>
      <c r="C437" s="19" t="n"/>
      <c r="D437" s="19" t="n"/>
      <c r="E437" s="19" t="n"/>
      <c r="F437" s="19" t="n"/>
      <c r="G437" s="19" t="n"/>
      <c r="H437" s="19" t="n"/>
      <c r="I437" s="19" t="inlineStr">
        <is>
          <t>Or Say</t>
        </is>
      </c>
      <c r="J437" s="21">
        <f>ROUND(J436,0)</f>
        <v/>
      </c>
    </row>
    <row r="438">
      <c r="A438" s="1" t="n"/>
      <c r="B438" s="1" t="n"/>
      <c r="C438" s="1" t="n"/>
      <c r="D438" s="2" t="inlineStr">
        <is>
          <t>1.5 Sqmm  3 PVC / XLPE Core Cable</t>
        </is>
      </c>
      <c r="E438" s="1" t="n"/>
      <c r="F438" s="1" t="n"/>
      <c r="G438" s="1" t="n"/>
      <c r="H438" s="1" t="n"/>
      <c r="I438" s="1" t="n"/>
      <c r="J438" s="1" t="n"/>
    </row>
    <row r="439">
      <c r="A439" s="3" t="n"/>
      <c r="B439" s="3" t="n"/>
      <c r="C439" s="3" t="n"/>
      <c r="D439" s="4" t="inlineStr">
        <is>
          <t xml:space="preserve">Data </t>
        </is>
      </c>
      <c r="E439" s="3" t="n"/>
      <c r="F439" s="3" t="n"/>
      <c r="G439" s="3" t="n"/>
      <c r="H439" s="3" t="n"/>
      <c r="I439" s="3" t="n"/>
      <c r="J439" s="3" t="n"/>
    </row>
    <row r="440" ht="51" customHeight="1">
      <c r="A440" s="5" t="n"/>
      <c r="B440" s="6" t="n"/>
      <c r="C440" s="5" t="n"/>
      <c r="D440" s="7" t="inlineStr">
        <is>
          <t xml:space="preserve">Rewiring  new Supply of 1.5 Sqmm  3 Core. PVC / XLPE Insulated Sheathed Multi Core Bright Annealed Bare Copper Conductor Heavy Duty Industrial Cables for Voltage Grade upto 1100 Volts as per IS: 694:2010 including all transportation charges etc complete. Makes : Finolex / RR kabel / Havells / Polycab </t>
        </is>
      </c>
      <c r="E440" s="7" t="n"/>
      <c r="F440" s="7" t="n"/>
      <c r="G440" s="7" t="n"/>
      <c r="H440" s="7" t="n"/>
      <c r="I440" s="7" t="n"/>
      <c r="J440" s="7" t="n"/>
    </row>
    <row r="441" ht="25.5" customHeight="1">
      <c r="A441" s="8" t="n"/>
      <c r="B441" s="6" t="inlineStr">
        <is>
          <t>SOR 2025-26</t>
        </is>
      </c>
      <c r="C441" s="6" t="n"/>
      <c r="D441" s="9" t="inlineStr">
        <is>
          <t>a) Material</t>
        </is>
      </c>
      <c r="E441" s="10" t="inlineStr">
        <is>
          <t>Qty</t>
        </is>
      </c>
      <c r="F441" s="6" t="inlineStr">
        <is>
          <t>Unit</t>
        </is>
      </c>
      <c r="G441" s="11" t="inlineStr">
        <is>
          <t>Qty</t>
        </is>
      </c>
      <c r="H441" s="6" t="inlineStr">
        <is>
          <t>Unit</t>
        </is>
      </c>
      <c r="I441" s="10" t="inlineStr">
        <is>
          <t>Rate per item</t>
        </is>
      </c>
      <c r="J441" s="12" t="inlineStr">
        <is>
          <t>Amount</t>
        </is>
      </c>
    </row>
    <row r="442" ht="51" customHeight="1">
      <c r="A442" s="8" t="n"/>
      <c r="B442" s="26" t="inlineStr">
        <is>
          <t>ELEC-1.5.5 m</t>
        </is>
      </c>
      <c r="C442" s="6" t="n">
        <v>1</v>
      </c>
      <c r="D442" s="9" t="inlineStr">
        <is>
          <t xml:space="preserve"> Supply of 1.5 Sqmm  3 Core. PVC / XLPE Insulated Sheathed Multi Core Bright Annealed Bare Copper Conductor Heavy Duty Industrial Cables for Voltage Grade upto 1100 Volts as per IS: 694:2010 including all transportation charges etc complete. Makes : Finolex / RR kabel / Havells / Polycab</t>
        </is>
      </c>
      <c r="E442" s="14" t="n">
        <v>1</v>
      </c>
      <c r="F442" s="14" t="inlineStr">
        <is>
          <t>each</t>
        </is>
      </c>
      <c r="G442" s="14" t="n">
        <v>1</v>
      </c>
      <c r="H442" s="14" t="inlineStr">
        <is>
          <t>each</t>
        </is>
      </c>
      <c r="I442" s="14" t="n">
        <v>94</v>
      </c>
      <c r="J442" s="12">
        <f>I442*E442</f>
        <v/>
      </c>
    </row>
    <row r="443">
      <c r="A443" s="6" t="n"/>
      <c r="B443" s="6" t="n"/>
      <c r="C443" s="6" t="n"/>
      <c r="D443" s="9" t="inlineStr">
        <is>
          <t>Cost of materials per each</t>
        </is>
      </c>
      <c r="E443" s="10" t="n"/>
      <c r="F443" s="6" t="n"/>
      <c r="G443" s="6" t="n"/>
      <c r="H443" s="6" t="n"/>
      <c r="I443" s="10" t="n"/>
      <c r="J443" s="17">
        <f>J442</f>
        <v/>
      </c>
    </row>
    <row r="444">
      <c r="A444" s="6" t="n"/>
      <c r="B444" s="5" t="n"/>
      <c r="C444" s="6" t="n"/>
      <c r="D444" s="16" t="inlineStr">
        <is>
          <t>Add OH@10.615%</t>
        </is>
      </c>
      <c r="E444" s="17" t="n"/>
      <c r="F444" s="5" t="n"/>
      <c r="G444" s="5" t="n"/>
      <c r="H444" s="5" t="n"/>
      <c r="I444" s="17" t="n"/>
      <c r="J444" s="17">
        <f>10.615%*J443</f>
        <v/>
      </c>
    </row>
    <row r="445">
      <c r="A445" s="6" t="n"/>
      <c r="B445" s="5" t="n"/>
      <c r="C445" s="6" t="n"/>
      <c r="D445" s="16" t="inlineStr">
        <is>
          <t>Total</t>
        </is>
      </c>
      <c r="E445" s="17" t="n"/>
      <c r="F445" s="5" t="n"/>
      <c r="G445" s="5" t="n"/>
      <c r="H445" s="5" t="n"/>
      <c r="I445" s="17" t="n"/>
      <c r="J445" s="17">
        <f>J443+J444</f>
        <v/>
      </c>
    </row>
    <row r="446">
      <c r="A446" s="19" t="n"/>
      <c r="B446" s="20" t="n"/>
      <c r="C446" s="19" t="n"/>
      <c r="D446" s="19" t="n"/>
      <c r="E446" s="19" t="n"/>
      <c r="F446" s="19" t="n"/>
      <c r="G446" s="19" t="n"/>
      <c r="H446" s="19" t="n"/>
      <c r="I446" s="19" t="inlineStr">
        <is>
          <t>Or Say</t>
        </is>
      </c>
      <c r="J446" s="21">
        <f>ROUND(J445,0)</f>
        <v/>
      </c>
    </row>
    <row r="447">
      <c r="A447" s="1" t="n"/>
      <c r="B447" s="1" t="n"/>
      <c r="C447" s="1" t="n"/>
      <c r="D447" s="2" t="inlineStr">
        <is>
          <t xml:space="preserve"> 48" Decorative Ceiling Fan</t>
        </is>
      </c>
      <c r="E447" s="1" t="n"/>
      <c r="F447" s="1" t="n"/>
      <c r="G447" s="1" t="n"/>
      <c r="H447" s="1" t="n"/>
      <c r="I447" s="1" t="n"/>
      <c r="J447" s="1" t="n"/>
    </row>
    <row r="448">
      <c r="A448" s="3" t="n"/>
      <c r="B448" s="3" t="n"/>
      <c r="C448" s="3" t="n"/>
      <c r="D448" s="4" t="inlineStr">
        <is>
          <t xml:space="preserve">Data </t>
        </is>
      </c>
      <c r="E448" s="3" t="n"/>
      <c r="F448" s="3" t="n"/>
      <c r="G448" s="3" t="n"/>
      <c r="H448" s="3" t="n"/>
      <c r="I448" s="3" t="n"/>
      <c r="J448" s="3" t="n"/>
    </row>
    <row r="449" ht="38.25" customHeight="1">
      <c r="A449" s="5" t="n"/>
      <c r="B449" s="6" t="n"/>
      <c r="C449" s="5" t="n"/>
      <c r="D449" s="7" t="inlineStr">
        <is>
          <t xml:space="preserve">Replacement of u/s with new Supply of 48" (1200mm) Sweep decorative Ceiling Fan 1 Star Rated with all accessories etc., Makes : Crompton / Havells  / Orient / Halonix </t>
        </is>
      </c>
      <c r="E449" s="7" t="n"/>
      <c r="F449" s="7" t="n"/>
      <c r="G449" s="7" t="n"/>
      <c r="H449" s="7" t="n"/>
      <c r="I449" s="7" t="n"/>
      <c r="J449" s="7" t="n"/>
    </row>
    <row r="450" ht="25.5" customHeight="1">
      <c r="A450" s="8" t="n"/>
      <c r="B450" s="6" t="inlineStr">
        <is>
          <t>SOR 2025-26</t>
        </is>
      </c>
      <c r="C450" s="6" t="n"/>
      <c r="D450" s="9" t="inlineStr">
        <is>
          <t>a) Material</t>
        </is>
      </c>
      <c r="E450" s="10" t="inlineStr">
        <is>
          <t>Qty</t>
        </is>
      </c>
      <c r="F450" s="6" t="inlineStr">
        <is>
          <t>Unit</t>
        </is>
      </c>
      <c r="G450" s="11" t="inlineStr">
        <is>
          <t>Qty</t>
        </is>
      </c>
      <c r="H450" s="6" t="inlineStr">
        <is>
          <t>Unit</t>
        </is>
      </c>
      <c r="I450" s="10" t="inlineStr">
        <is>
          <t>Rate per item</t>
        </is>
      </c>
      <c r="J450" s="12" t="inlineStr">
        <is>
          <t>Amount</t>
        </is>
      </c>
    </row>
    <row r="451" ht="25.5" customHeight="1">
      <c r="A451" s="8" t="n"/>
      <c r="B451" s="13" t="inlineStr">
        <is>
          <t>ELEC-5.1.6</t>
        </is>
      </c>
      <c r="C451" s="6" t="n">
        <v>1</v>
      </c>
      <c r="D451" s="9" t="inlineStr">
        <is>
          <t xml:space="preserve"> Supply of 48" (1200mm) Sweep decorative Ceiling Fan 1 Star Rated with all accessories etc., Makes : Crompton / Havells  / Orient / Halonix </t>
        </is>
      </c>
      <c r="E451" s="14" t="n">
        <v>1</v>
      </c>
      <c r="F451" s="14" t="inlineStr">
        <is>
          <t>each</t>
        </is>
      </c>
      <c r="G451" s="14" t="n">
        <v>1</v>
      </c>
      <c r="H451" s="14" t="inlineStr">
        <is>
          <t>each</t>
        </is>
      </c>
      <c r="I451" s="14" t="n">
        <v>2000</v>
      </c>
      <c r="J451" s="12">
        <f>I451*E451</f>
        <v/>
      </c>
    </row>
    <row r="452">
      <c r="A452" s="6" t="n"/>
      <c r="B452" s="6" t="n"/>
      <c r="C452" s="6" t="n"/>
      <c r="D452" s="9" t="inlineStr">
        <is>
          <t>Cost of materials per each</t>
        </is>
      </c>
      <c r="E452" s="10" t="n"/>
      <c r="F452" s="6" t="n"/>
      <c r="G452" s="6" t="n"/>
      <c r="H452" s="6" t="n"/>
      <c r="I452" s="10" t="n"/>
      <c r="J452" s="17">
        <f>J451</f>
        <v/>
      </c>
    </row>
    <row r="453">
      <c r="A453" s="6" t="n"/>
      <c r="B453" s="5" t="n"/>
      <c r="C453" s="6" t="n"/>
      <c r="D453" s="16" t="inlineStr">
        <is>
          <t>Add OH@10.615%</t>
        </is>
      </c>
      <c r="E453" s="17" t="n"/>
      <c r="F453" s="5" t="n"/>
      <c r="G453" s="5" t="n"/>
      <c r="H453" s="5" t="n"/>
      <c r="I453" s="17" t="n"/>
      <c r="J453" s="17">
        <f>10.615%*J452</f>
        <v/>
      </c>
    </row>
    <row r="454">
      <c r="A454" s="6" t="n"/>
      <c r="B454" s="5" t="n"/>
      <c r="C454" s="6" t="n"/>
      <c r="D454" s="16" t="inlineStr">
        <is>
          <t>Total</t>
        </is>
      </c>
      <c r="E454" s="17" t="n"/>
      <c r="F454" s="5" t="n"/>
      <c r="G454" s="5" t="n"/>
      <c r="H454" s="5" t="n"/>
      <c r="I454" s="17" t="n"/>
      <c r="J454" s="17">
        <f>J452+J453</f>
        <v/>
      </c>
    </row>
    <row r="455">
      <c r="A455" s="19" t="n"/>
      <c r="B455" s="20" t="n"/>
      <c r="C455" s="19" t="n"/>
      <c r="D455" s="19" t="n"/>
      <c r="E455" s="19" t="n"/>
      <c r="F455" s="19" t="n"/>
      <c r="G455" s="19" t="n"/>
      <c r="H455" s="19" t="n"/>
      <c r="I455" s="19" t="inlineStr">
        <is>
          <t>Or Say</t>
        </is>
      </c>
      <c r="J455" s="21">
        <f>ROUND(J454,0)</f>
        <v/>
      </c>
    </row>
    <row r="456">
      <c r="A456" s="1" t="n"/>
      <c r="B456" s="1" t="n"/>
      <c r="C456" s="1" t="n"/>
      <c r="D456" s="2" t="inlineStr">
        <is>
          <t xml:space="preserve"> 48" BLDC Ceiling Fan</t>
        </is>
      </c>
      <c r="E456" s="1" t="n"/>
      <c r="F456" s="1" t="n"/>
      <c r="G456" s="1" t="n"/>
      <c r="H456" s="1" t="n"/>
      <c r="I456" s="1" t="n"/>
      <c r="J456" s="1" t="n"/>
    </row>
    <row r="457">
      <c r="A457" s="3" t="n"/>
      <c r="B457" s="3" t="n"/>
      <c r="C457" s="3" t="n"/>
      <c r="D457" s="4" t="inlineStr">
        <is>
          <t xml:space="preserve">Data </t>
        </is>
      </c>
      <c r="E457" s="3" t="n"/>
      <c r="F457" s="3" t="n"/>
      <c r="G457" s="3" t="n"/>
      <c r="H457" s="3" t="n"/>
      <c r="I457" s="3" t="n"/>
      <c r="J457" s="3" t="n"/>
    </row>
    <row r="458" ht="153" customHeight="1">
      <c r="A458" s="5" t="n"/>
      <c r="B458" s="6" t="n"/>
      <c r="C458" s="5" t="n"/>
      <c r="D458" s="7" t="inlineStr">
        <is>
          <t xml:space="preserve">Replacement of old u/s with new 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is>
      </c>
      <c r="E458" s="7" t="n"/>
      <c r="F458" s="7" t="n"/>
      <c r="G458" s="7" t="n"/>
      <c r="H458" s="7" t="n"/>
      <c r="I458" s="7" t="n"/>
      <c r="J458" s="7" t="n"/>
    </row>
    <row r="459" ht="25.5" customHeight="1">
      <c r="A459" s="8" t="n"/>
      <c r="B459" s="6" t="inlineStr">
        <is>
          <t>SOR 2025-26</t>
        </is>
      </c>
      <c r="C459" s="6" t="n"/>
      <c r="D459" s="9" t="inlineStr">
        <is>
          <t>a) Material</t>
        </is>
      </c>
      <c r="E459" s="10" t="inlineStr">
        <is>
          <t>Qty</t>
        </is>
      </c>
      <c r="F459" s="6" t="inlineStr">
        <is>
          <t>Unit</t>
        </is>
      </c>
      <c r="G459" s="11" t="inlineStr">
        <is>
          <t>Qty</t>
        </is>
      </c>
      <c r="H459" s="6" t="inlineStr">
        <is>
          <t>Unit</t>
        </is>
      </c>
      <c r="I459" s="10" t="inlineStr">
        <is>
          <t>Rate per item</t>
        </is>
      </c>
      <c r="J459" s="12" t="inlineStr">
        <is>
          <t>Amount</t>
        </is>
      </c>
    </row>
    <row r="460" ht="153" customHeight="1">
      <c r="A460" s="8" t="n"/>
      <c r="B460" s="26" t="inlineStr">
        <is>
          <t>ELEC-5.1.2</t>
        </is>
      </c>
      <c r="C460" s="6" t="n">
        <v>1</v>
      </c>
      <c r="D460" s="9" t="inlineStr">
        <is>
          <t xml:space="preserve">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is>
      </c>
      <c r="E460" s="14" t="n">
        <v>1</v>
      </c>
      <c r="F460" s="14" t="inlineStr">
        <is>
          <t>each</t>
        </is>
      </c>
      <c r="G460" s="14" t="n">
        <v>1</v>
      </c>
      <c r="H460" s="14" t="inlineStr">
        <is>
          <t>each</t>
        </is>
      </c>
      <c r="I460" s="14" t="n">
        <v>3085</v>
      </c>
      <c r="J460" s="12">
        <f>I460*E460</f>
        <v/>
      </c>
    </row>
    <row r="461">
      <c r="A461" s="6" t="n"/>
      <c r="B461" s="6" t="n"/>
      <c r="C461" s="6" t="n"/>
      <c r="D461" s="9" t="inlineStr">
        <is>
          <t>Cost of materials per each</t>
        </is>
      </c>
      <c r="E461" s="10" t="n"/>
      <c r="F461" s="6" t="n"/>
      <c r="G461" s="6" t="n"/>
      <c r="H461" s="6" t="n"/>
      <c r="I461" s="10" t="n"/>
      <c r="J461" s="17">
        <f>J460</f>
        <v/>
      </c>
    </row>
    <row r="462">
      <c r="A462" s="6" t="n"/>
      <c r="B462" s="5" t="n"/>
      <c r="C462" s="6" t="n"/>
      <c r="D462" s="16" t="inlineStr">
        <is>
          <t>Add OH@10.615%</t>
        </is>
      </c>
      <c r="E462" s="17" t="n"/>
      <c r="F462" s="5" t="n"/>
      <c r="G462" s="5" t="n"/>
      <c r="H462" s="5" t="n"/>
      <c r="I462" s="17" t="n"/>
      <c r="J462" s="17">
        <f>10.615%*J461</f>
        <v/>
      </c>
    </row>
    <row r="463">
      <c r="A463" s="6" t="n"/>
      <c r="B463" s="5" t="n"/>
      <c r="C463" s="6" t="n"/>
      <c r="D463" s="16" t="inlineStr">
        <is>
          <t>Total</t>
        </is>
      </c>
      <c r="E463" s="17" t="n"/>
      <c r="F463" s="5" t="n"/>
      <c r="G463" s="5" t="n"/>
      <c r="H463" s="5" t="n"/>
      <c r="I463" s="17" t="n"/>
      <c r="J463" s="17">
        <f>J461+J462</f>
        <v/>
      </c>
    </row>
    <row r="464">
      <c r="A464" s="19" t="n"/>
      <c r="B464" s="20" t="n"/>
      <c r="C464" s="19" t="n"/>
      <c r="D464" s="19" t="n"/>
      <c r="E464" s="19" t="n"/>
      <c r="F464" s="19" t="n"/>
      <c r="G464" s="19" t="n"/>
      <c r="H464" s="19" t="n"/>
      <c r="I464" s="19" t="inlineStr">
        <is>
          <t>Or Say</t>
        </is>
      </c>
      <c r="J464" s="21">
        <f>ROUND(J463,0)</f>
        <v/>
      </c>
    </row>
    <row r="465">
      <c r="A465" s="1" t="n"/>
      <c r="B465" s="1" t="n"/>
      <c r="C465" s="1" t="n"/>
      <c r="D465" s="2" t="inlineStr">
        <is>
          <t>12" Light duty exhaust fan</t>
        </is>
      </c>
      <c r="E465" s="1" t="n"/>
      <c r="F465" s="1" t="n"/>
      <c r="G465" s="1" t="n"/>
      <c r="H465" s="1" t="n"/>
      <c r="I465" s="1" t="n"/>
      <c r="J465" s="1" t="n"/>
    </row>
    <row r="466">
      <c r="A466" s="3" t="n"/>
      <c r="B466" s="3" t="n"/>
      <c r="C466" s="3" t="n"/>
      <c r="D466" s="4" t="inlineStr">
        <is>
          <t xml:space="preserve">Data </t>
        </is>
      </c>
      <c r="E466" s="3" t="n"/>
      <c r="F466" s="3" t="n"/>
      <c r="G466" s="3" t="n"/>
      <c r="H466" s="3" t="n"/>
      <c r="I466" s="3" t="n"/>
      <c r="J466" s="3" t="n"/>
    </row>
    <row r="467" ht="38.25" customHeight="1">
      <c r="A467" s="5" t="n"/>
      <c r="B467" s="6" t="n"/>
      <c r="C467" s="5" t="n"/>
      <c r="D467" s="7" t="inlineStr">
        <is>
          <t xml:space="preserve">Replacement of u/s with new Supply of 12" (300mm +/ - 5%)  Light duty exhaust fan with metal blades etc complete Makes : Crompton  / Havells Ventilair-DB / Orient hill air. </t>
        </is>
      </c>
      <c r="E467" s="7" t="n"/>
      <c r="F467" s="7" t="n"/>
      <c r="G467" s="7" t="n"/>
      <c r="H467" s="7" t="n"/>
      <c r="I467" s="7" t="n"/>
      <c r="J467" s="7" t="n"/>
    </row>
    <row r="468" ht="25.5" customHeight="1">
      <c r="A468" s="8" t="n"/>
      <c r="B468" s="6" t="inlineStr">
        <is>
          <t>SOR 2025-26</t>
        </is>
      </c>
      <c r="C468" s="6" t="n"/>
      <c r="D468" s="9" t="inlineStr">
        <is>
          <t>a) Material</t>
        </is>
      </c>
      <c r="E468" s="10" t="inlineStr">
        <is>
          <t>Qty</t>
        </is>
      </c>
      <c r="F468" s="6" t="inlineStr">
        <is>
          <t>Unit</t>
        </is>
      </c>
      <c r="G468" s="11" t="inlineStr">
        <is>
          <t>Qty</t>
        </is>
      </c>
      <c r="H468" s="6" t="inlineStr">
        <is>
          <t>Unit</t>
        </is>
      </c>
      <c r="I468" s="10" t="inlineStr">
        <is>
          <t>Rate per item</t>
        </is>
      </c>
      <c r="J468" s="12" t="inlineStr">
        <is>
          <t>Amount</t>
        </is>
      </c>
    </row>
    <row r="469" ht="25.5" customHeight="1">
      <c r="A469" s="8" t="n"/>
      <c r="B469" s="26" t="inlineStr">
        <is>
          <t>ELEC-5.1.11 b</t>
        </is>
      </c>
      <c r="C469" s="6" t="n">
        <v>1</v>
      </c>
      <c r="D469" s="9" t="inlineStr">
        <is>
          <t xml:space="preserve"> Supply of 12" (300mm +/ - 5%)  Light duty exhaust fan with metal blades etc complete Makes : Crompton  / Havells Ventilair-DB / Orient hill air. </t>
        </is>
      </c>
      <c r="E469" s="14" t="n">
        <v>1</v>
      </c>
      <c r="F469" s="14" t="inlineStr">
        <is>
          <t>each</t>
        </is>
      </c>
      <c r="G469" s="14" t="n">
        <v>1</v>
      </c>
      <c r="H469" s="14" t="inlineStr">
        <is>
          <t>each</t>
        </is>
      </c>
      <c r="I469" s="14" t="n">
        <v>1817</v>
      </c>
      <c r="J469" s="12">
        <f>I469*E469</f>
        <v/>
      </c>
    </row>
    <row r="470">
      <c r="A470" s="6" t="n"/>
      <c r="B470" s="6" t="n"/>
      <c r="C470" s="6" t="n"/>
      <c r="D470" s="9" t="inlineStr">
        <is>
          <t>Cost of materials per each</t>
        </is>
      </c>
      <c r="E470" s="10" t="n"/>
      <c r="F470" s="6" t="n"/>
      <c r="G470" s="6" t="n"/>
      <c r="H470" s="6" t="n"/>
      <c r="I470" s="10" t="n"/>
      <c r="J470" s="17">
        <f>J469</f>
        <v/>
      </c>
    </row>
    <row r="471">
      <c r="A471" s="6" t="n"/>
      <c r="B471" s="5" t="n"/>
      <c r="C471" s="6" t="n"/>
      <c r="D471" s="16" t="inlineStr">
        <is>
          <t>Add OH@10.615%</t>
        </is>
      </c>
      <c r="E471" s="17" t="n"/>
      <c r="F471" s="5" t="n"/>
      <c r="G471" s="5" t="n"/>
      <c r="H471" s="5" t="n"/>
      <c r="I471" s="17" t="n"/>
      <c r="J471" s="17">
        <f>10.615%*J470</f>
        <v/>
      </c>
    </row>
    <row r="472">
      <c r="A472" s="6" t="n"/>
      <c r="B472" s="5" t="n"/>
      <c r="C472" s="6" t="n"/>
      <c r="D472" s="16" t="inlineStr">
        <is>
          <t>Total</t>
        </is>
      </c>
      <c r="E472" s="17" t="n"/>
      <c r="F472" s="5" t="n"/>
      <c r="G472" s="5" t="n"/>
      <c r="H472" s="5" t="n"/>
      <c r="I472" s="17" t="n"/>
      <c r="J472" s="17">
        <f>J470+J471</f>
        <v/>
      </c>
    </row>
    <row r="473">
      <c r="A473" s="19" t="n"/>
      <c r="B473" s="20" t="n"/>
      <c r="C473" s="19" t="n"/>
      <c r="D473" s="19" t="n"/>
      <c r="E473" s="19" t="n"/>
      <c r="F473" s="19" t="n"/>
      <c r="G473" s="19" t="n"/>
      <c r="H473" s="19" t="n"/>
      <c r="I473" s="19" t="inlineStr">
        <is>
          <t>Or Say</t>
        </is>
      </c>
      <c r="J473" s="21">
        <f>ROUND(J472,0)</f>
        <v/>
      </c>
    </row>
    <row r="474">
      <c r="A474" s="1" t="n"/>
      <c r="B474" s="1" t="n"/>
      <c r="C474" s="1" t="n"/>
      <c r="D474" s="2" t="inlineStr">
        <is>
          <t>BLDC 32 W Pedestal Fan</t>
        </is>
      </c>
      <c r="E474" s="1" t="n"/>
      <c r="F474" s="1" t="n"/>
      <c r="G474" s="1" t="n"/>
      <c r="H474" s="1" t="n"/>
      <c r="I474" s="1" t="n"/>
      <c r="J474" s="1" t="n"/>
    </row>
    <row r="475">
      <c r="A475" s="3" t="n"/>
      <c r="B475" s="3" t="n"/>
      <c r="C475" s="3" t="n"/>
      <c r="D475" s="4" t="inlineStr">
        <is>
          <t xml:space="preserve">Data </t>
        </is>
      </c>
      <c r="E475" s="3" t="n"/>
      <c r="F475" s="3" t="n"/>
      <c r="G475" s="3" t="n"/>
      <c r="H475" s="3" t="n"/>
      <c r="I475" s="3" t="n"/>
      <c r="J475" s="3" t="n"/>
    </row>
    <row r="476" ht="38.25" customHeight="1">
      <c r="A476" s="5" t="n"/>
      <c r="B476" s="6" t="n"/>
      <c r="C476" s="5" t="n"/>
      <c r="D476" s="7" t="inlineStr">
        <is>
          <t xml:space="preserve">Supply of 16" (400 mm) BLDC 32 W Pedestal Fan  with service value 2.7 CMM / Watt and with remote controller and with all accessories etc., Makes :  Atomberg  / Crompton / Orient / Havells / Halonix . </t>
        </is>
      </c>
      <c r="E476" s="7" t="n"/>
      <c r="F476" s="7" t="n"/>
      <c r="G476" s="7" t="n"/>
      <c r="H476" s="7" t="n"/>
      <c r="I476" s="7" t="n"/>
      <c r="J476" s="7" t="n"/>
    </row>
    <row r="477" ht="25.5" customHeight="1">
      <c r="A477" s="8" t="n"/>
      <c r="B477" s="6" t="inlineStr">
        <is>
          <t>SOR 2025-26</t>
        </is>
      </c>
      <c r="C477" s="6" t="n"/>
      <c r="D477" s="9" t="inlineStr">
        <is>
          <t>a) Material</t>
        </is>
      </c>
      <c r="E477" s="10" t="inlineStr">
        <is>
          <t>Qty</t>
        </is>
      </c>
      <c r="F477" s="6" t="inlineStr">
        <is>
          <t>Unit</t>
        </is>
      </c>
      <c r="G477" s="11" t="inlineStr">
        <is>
          <t>Qty</t>
        </is>
      </c>
      <c r="H477" s="6" t="inlineStr">
        <is>
          <t>Unit</t>
        </is>
      </c>
      <c r="I477" s="10" t="inlineStr">
        <is>
          <t>Rate per item</t>
        </is>
      </c>
      <c r="J477" s="12" t="inlineStr">
        <is>
          <t>Amount</t>
        </is>
      </c>
    </row>
    <row r="478" ht="38.25" customHeight="1">
      <c r="A478" s="8" t="n"/>
      <c r="B478" s="26" t="inlineStr">
        <is>
          <t>ELEC-5.1.8</t>
        </is>
      </c>
      <c r="C478" s="6" t="n">
        <v>1</v>
      </c>
      <c r="D478" s="9">
        <f>D476</f>
        <v/>
      </c>
      <c r="E478" s="14" t="n">
        <v>1</v>
      </c>
      <c r="F478" s="14" t="inlineStr">
        <is>
          <t>each</t>
        </is>
      </c>
      <c r="G478" s="14" t="n">
        <v>1</v>
      </c>
      <c r="H478" s="14" t="inlineStr">
        <is>
          <t>each</t>
        </is>
      </c>
      <c r="I478" s="14" t="n">
        <v>3392</v>
      </c>
      <c r="J478" s="12">
        <f>I478*E478</f>
        <v/>
      </c>
    </row>
    <row r="479">
      <c r="A479" s="6" t="n"/>
      <c r="B479" s="6" t="n"/>
      <c r="C479" s="6" t="n"/>
      <c r="D479" s="9" t="inlineStr">
        <is>
          <t>Cost of materials per each</t>
        </is>
      </c>
      <c r="E479" s="10" t="n"/>
      <c r="F479" s="6" t="n"/>
      <c r="G479" s="6" t="n"/>
      <c r="H479" s="6" t="n"/>
      <c r="I479" s="10" t="n"/>
      <c r="J479" s="17">
        <f>J478</f>
        <v/>
      </c>
    </row>
    <row r="480">
      <c r="A480" s="6" t="n"/>
      <c r="B480" s="5" t="n"/>
      <c r="C480" s="6" t="n"/>
      <c r="D480" s="16" t="inlineStr">
        <is>
          <t>Add OH@10.615%</t>
        </is>
      </c>
      <c r="E480" s="17" t="n"/>
      <c r="F480" s="5" t="n"/>
      <c r="G480" s="5" t="n"/>
      <c r="H480" s="5" t="n"/>
      <c r="I480" s="17" t="n"/>
      <c r="J480" s="17">
        <f>13.615%*J479</f>
        <v/>
      </c>
    </row>
    <row r="481">
      <c r="A481" s="6" t="n"/>
      <c r="B481" s="5" t="n"/>
      <c r="C481" s="6" t="n"/>
      <c r="D481" s="16" t="inlineStr">
        <is>
          <t>Total</t>
        </is>
      </c>
      <c r="E481" s="17" t="n"/>
      <c r="F481" s="5" t="n"/>
      <c r="G481" s="5" t="n"/>
      <c r="H481" s="5" t="n"/>
      <c r="I481" s="17" t="n"/>
      <c r="J481" s="17">
        <f>J479+J480</f>
        <v/>
      </c>
    </row>
    <row r="482">
      <c r="A482" s="19" t="n"/>
      <c r="B482" s="20" t="n"/>
      <c r="C482" s="19" t="n"/>
      <c r="D482" s="19" t="n"/>
      <c r="E482" s="19" t="n"/>
      <c r="F482" s="19" t="n"/>
      <c r="G482" s="19" t="n"/>
      <c r="H482" s="19" t="n"/>
      <c r="I482" s="19" t="inlineStr">
        <is>
          <t>Or Say</t>
        </is>
      </c>
      <c r="J482" s="21">
        <f>ROUND(J481,0)</f>
        <v/>
      </c>
    </row>
    <row r="483">
      <c r="A483" s="1" t="n"/>
      <c r="B483" s="1" t="n"/>
      <c r="C483" s="1" t="n"/>
      <c r="D483" s="2" t="inlineStr">
        <is>
          <t>BLDC 30 W Wall mounted Fan</t>
        </is>
      </c>
      <c r="E483" s="1" t="n"/>
      <c r="F483" s="1" t="n"/>
      <c r="G483" s="1" t="n"/>
      <c r="H483" s="1" t="n"/>
      <c r="I483" s="1" t="n"/>
      <c r="J483" s="1" t="n"/>
    </row>
    <row r="484">
      <c r="A484" s="3" t="n"/>
      <c r="B484" s="3" t="n"/>
      <c r="C484" s="3" t="n"/>
      <c r="D484" s="4" t="inlineStr">
        <is>
          <t xml:space="preserve">Data </t>
        </is>
      </c>
      <c r="E484" s="3" t="n"/>
      <c r="F484" s="3" t="n"/>
      <c r="G484" s="3" t="n"/>
      <c r="H484" s="3" t="n"/>
      <c r="I484" s="3" t="n"/>
      <c r="J484" s="3" t="n"/>
    </row>
    <row r="485" ht="38.25" customHeight="1">
      <c r="A485" s="5" t="n"/>
      <c r="B485" s="6" t="n"/>
      <c r="C485" s="5" t="n"/>
      <c r="D485" s="7" t="inlineStr">
        <is>
          <t xml:space="preserve">Replacement of u/s with new Supply of 16" (400mm) BLDC 30 W Wall mounted Fan with service value 2.7 CMM / Watt  with all accessories etc.,Makes : Atomberg / Crompton / Orient / Havells / Halonix . </t>
        </is>
      </c>
      <c r="E485" s="7" t="n"/>
      <c r="F485" s="7" t="n"/>
      <c r="G485" s="7" t="n"/>
      <c r="H485" s="7" t="n"/>
      <c r="I485" s="7" t="n"/>
      <c r="J485" s="7" t="n"/>
    </row>
    <row r="486" ht="25.5" customHeight="1">
      <c r="A486" s="8" t="n"/>
      <c r="B486" s="6" t="inlineStr">
        <is>
          <t>SOR 2025-26</t>
        </is>
      </c>
      <c r="C486" s="6" t="n"/>
      <c r="D486" s="9" t="inlineStr">
        <is>
          <t>a) Material</t>
        </is>
      </c>
      <c r="E486" s="10" t="inlineStr">
        <is>
          <t>Qty</t>
        </is>
      </c>
      <c r="F486" s="6" t="inlineStr">
        <is>
          <t>Unit</t>
        </is>
      </c>
      <c r="G486" s="11" t="inlineStr">
        <is>
          <t>Qty</t>
        </is>
      </c>
      <c r="H486" s="6" t="inlineStr">
        <is>
          <t>Unit</t>
        </is>
      </c>
      <c r="I486" s="10" t="inlineStr">
        <is>
          <t>Rate per item</t>
        </is>
      </c>
      <c r="J486" s="12" t="inlineStr">
        <is>
          <t>Amount</t>
        </is>
      </c>
    </row>
    <row r="487" ht="38.25" customHeight="1">
      <c r="A487" s="8" t="n"/>
      <c r="B487" s="26" t="inlineStr">
        <is>
          <t>ELEC-5.1.9</t>
        </is>
      </c>
      <c r="C487" s="6" t="n">
        <v>1</v>
      </c>
      <c r="D487" s="9" t="inlineStr">
        <is>
          <t xml:space="preserve"> Supply of 16" (400mm) BLDC 30 W Wall mounted Fan with service value 2.7 CMM / Watt  with all accessories etc.,Makes : Atomberg / Crompton / Orient / Havells / Halonix . </t>
        </is>
      </c>
      <c r="E487" s="14" t="n">
        <v>1</v>
      </c>
      <c r="F487" s="14" t="inlineStr">
        <is>
          <t>each</t>
        </is>
      </c>
      <c r="G487" s="14" t="n">
        <v>1</v>
      </c>
      <c r="H487" s="14" t="inlineStr">
        <is>
          <t>each</t>
        </is>
      </c>
      <c r="I487" s="14" t="n">
        <v>3150</v>
      </c>
      <c r="J487" s="12">
        <f>I487*E487</f>
        <v/>
      </c>
    </row>
    <row r="488">
      <c r="A488" s="6" t="n"/>
      <c r="B488" s="6" t="n"/>
      <c r="C488" s="6" t="n"/>
      <c r="D488" s="9" t="inlineStr">
        <is>
          <t>Cost of materials per each</t>
        </is>
      </c>
      <c r="E488" s="10" t="n"/>
      <c r="F488" s="6" t="n"/>
      <c r="G488" s="6" t="n"/>
      <c r="H488" s="6" t="n"/>
      <c r="I488" s="10" t="n"/>
      <c r="J488" s="17">
        <f>J487</f>
        <v/>
      </c>
    </row>
    <row r="489">
      <c r="A489" s="6" t="n"/>
      <c r="B489" s="5" t="n"/>
      <c r="C489" s="6" t="n"/>
      <c r="D489" s="16" t="inlineStr">
        <is>
          <t>Add OH@10.615%</t>
        </is>
      </c>
      <c r="E489" s="17" t="n"/>
      <c r="F489" s="5" t="n"/>
      <c r="G489" s="5" t="n"/>
      <c r="H489" s="5" t="n"/>
      <c r="I489" s="17" t="n"/>
      <c r="J489" s="17">
        <f>10.615%*J488</f>
        <v/>
      </c>
    </row>
    <row r="490">
      <c r="A490" s="6" t="n"/>
      <c r="B490" s="5" t="n"/>
      <c r="C490" s="6" t="n"/>
      <c r="D490" s="16" t="inlineStr">
        <is>
          <t>Total</t>
        </is>
      </c>
      <c r="E490" s="17" t="n"/>
      <c r="F490" s="5" t="n"/>
      <c r="G490" s="5" t="n"/>
      <c r="H490" s="5" t="n"/>
      <c r="I490" s="17" t="n"/>
      <c r="J490" s="17">
        <f>J488+J489</f>
        <v/>
      </c>
    </row>
    <row r="491">
      <c r="A491" s="19" t="n"/>
      <c r="B491" s="20" t="n"/>
      <c r="C491" s="19" t="n"/>
      <c r="D491" s="19" t="n"/>
      <c r="E491" s="19" t="n"/>
      <c r="F491" s="19" t="n"/>
      <c r="G491" s="19" t="n"/>
      <c r="H491" s="19" t="n"/>
      <c r="I491" s="19" t="inlineStr">
        <is>
          <t>Or Say</t>
        </is>
      </c>
      <c r="J491" s="21">
        <f>ROUND(J490,0)</f>
        <v/>
      </c>
    </row>
    <row r="492">
      <c r="A492" s="1" t="n"/>
      <c r="B492" s="1" t="n"/>
      <c r="C492" s="1" t="n"/>
      <c r="D492" s="2" t="inlineStr">
        <is>
          <t>25 Ltrs Geysers</t>
        </is>
      </c>
      <c r="E492" s="1" t="n"/>
      <c r="F492" s="1" t="n"/>
      <c r="G492" s="1" t="n"/>
      <c r="H492" s="1" t="n"/>
      <c r="I492" s="1" t="n"/>
      <c r="J492" s="1" t="n"/>
    </row>
    <row r="493">
      <c r="A493" s="3" t="n"/>
      <c r="B493" s="3" t="n"/>
      <c r="C493" s="3" t="n"/>
      <c r="D493" s="4" t="inlineStr">
        <is>
          <t xml:space="preserve">Data </t>
        </is>
      </c>
      <c r="E493" s="3" t="n"/>
      <c r="F493" s="3" t="n"/>
      <c r="G493" s="3" t="n"/>
      <c r="H493" s="3" t="n"/>
      <c r="I493" s="3" t="n"/>
      <c r="J493" s="3" t="n"/>
    </row>
    <row r="494" ht="102" customHeight="1">
      <c r="A494" s="5" t="n"/>
      <c r="B494" s="6" t="n"/>
      <c r="C494" s="5" t="n"/>
      <c r="D494" s="7" t="inlineStr">
        <is>
          <t xml:space="preserve">Replacement of u/s with new Supply, Transportation,  Installation, Testing and commissioning of storage / Pressure type Vertical / Horizontal 230/250V single phase 2000 watts  5 Star rated water heater with ABS plastic body of 25 Lts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is>
      </c>
      <c r="E494" s="7" t="n"/>
      <c r="F494" s="7" t="n"/>
      <c r="G494" s="7" t="n"/>
      <c r="H494" s="7" t="n"/>
      <c r="I494" s="7" t="n"/>
      <c r="J494" s="7" t="n"/>
    </row>
    <row r="495" ht="25.5" customHeight="1">
      <c r="A495" s="8" t="n"/>
      <c r="B495" s="6" t="inlineStr">
        <is>
          <t>SOR 2025-26</t>
        </is>
      </c>
      <c r="C495" s="6" t="n"/>
      <c r="D495" s="9" t="inlineStr">
        <is>
          <t>a) Material</t>
        </is>
      </c>
      <c r="E495" s="10" t="inlineStr">
        <is>
          <t>Qty</t>
        </is>
      </c>
      <c r="F495" s="6" t="inlineStr">
        <is>
          <t>Unit</t>
        </is>
      </c>
      <c r="G495" s="11" t="inlineStr">
        <is>
          <t>Qty</t>
        </is>
      </c>
      <c r="H495" s="6" t="inlineStr">
        <is>
          <t>Unit</t>
        </is>
      </c>
      <c r="I495" s="10" t="inlineStr">
        <is>
          <t>Rate per item</t>
        </is>
      </c>
      <c r="J495" s="12" t="inlineStr">
        <is>
          <t>Amount</t>
        </is>
      </c>
    </row>
    <row r="496" ht="102" customHeight="1">
      <c r="A496" s="8" t="n"/>
      <c r="B496" s="22" t="inlineStr">
        <is>
          <t>ELEC-5.2.1 c</t>
        </is>
      </c>
      <c r="C496" s="6" t="n">
        <v>1</v>
      </c>
      <c r="D496" s="9" t="inlineStr">
        <is>
          <t xml:space="preserve">Supply, Transportation,  Installation, Testing and commissioning of storage / Pressure type Vertical / Horizontal 230/250V single phase 2000 watts  5 Star rated water heater with ABS plastic body of 25 Lts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is>
      </c>
      <c r="E496" s="14" t="n">
        <v>1</v>
      </c>
      <c r="F496" s="14" t="inlineStr">
        <is>
          <t>each</t>
        </is>
      </c>
      <c r="G496" s="14" t="n">
        <v>1</v>
      </c>
      <c r="H496" s="14" t="inlineStr">
        <is>
          <t>each</t>
        </is>
      </c>
      <c r="I496" s="14" t="n">
        <v>12735</v>
      </c>
      <c r="J496" s="12">
        <f>I496*E496</f>
        <v/>
      </c>
    </row>
    <row r="497">
      <c r="A497" s="6" t="n"/>
      <c r="B497" s="6" t="n"/>
      <c r="C497" s="6" t="n"/>
      <c r="D497" s="9" t="inlineStr">
        <is>
          <t>Cost of materials per each</t>
        </is>
      </c>
      <c r="E497" s="10" t="n"/>
      <c r="F497" s="6" t="n"/>
      <c r="G497" s="6" t="n"/>
      <c r="H497" s="6" t="n"/>
      <c r="I497" s="10" t="n"/>
      <c r="J497" s="17">
        <f>J496</f>
        <v/>
      </c>
    </row>
    <row r="498">
      <c r="A498" s="6" t="n"/>
      <c r="B498" s="5" t="n"/>
      <c r="C498" s="6" t="n"/>
      <c r="D498" s="16" t="inlineStr">
        <is>
          <t>Add OH@10.615%</t>
        </is>
      </c>
      <c r="E498" s="17" t="n"/>
      <c r="F498" s="5" t="n"/>
      <c r="G498" s="5" t="n"/>
      <c r="H498" s="5" t="n"/>
      <c r="I498" s="17" t="n"/>
      <c r="J498" s="17">
        <f>10.615%*J497</f>
        <v/>
      </c>
    </row>
    <row r="499">
      <c r="A499" s="6" t="n"/>
      <c r="B499" s="5" t="n"/>
      <c r="C499" s="6" t="n"/>
      <c r="D499" s="16" t="inlineStr">
        <is>
          <t>Total</t>
        </is>
      </c>
      <c r="E499" s="17" t="n"/>
      <c r="F499" s="5" t="n"/>
      <c r="G499" s="5" t="n"/>
      <c r="H499" s="5" t="n"/>
      <c r="I499" s="17" t="n"/>
      <c r="J499" s="17">
        <f>J497+J498</f>
        <v/>
      </c>
    </row>
    <row r="500">
      <c r="A500" s="19" t="n"/>
      <c r="B500" s="20" t="n"/>
      <c r="C500" s="19" t="n"/>
      <c r="D500" s="19" t="n"/>
      <c r="E500" s="19" t="n"/>
      <c r="F500" s="19" t="n"/>
      <c r="G500" s="19" t="n"/>
      <c r="H500" s="19" t="n"/>
      <c r="I500" s="19" t="inlineStr">
        <is>
          <t>Or Say</t>
        </is>
      </c>
      <c r="J500" s="21">
        <f>ROUND(J499,0)</f>
        <v/>
      </c>
    </row>
    <row r="501">
      <c r="A501" s="1" t="n"/>
      <c r="B501" s="1" t="n"/>
      <c r="C501" s="1" t="n"/>
      <c r="D501" s="2" t="inlineStr">
        <is>
          <t>12 Surface Mounted PVC Modular Gang Box</t>
        </is>
      </c>
      <c r="E501" s="1" t="n"/>
      <c r="F501" s="1" t="n"/>
      <c r="G501" s="1" t="n"/>
      <c r="H501" s="1" t="n"/>
      <c r="I501" s="1" t="n"/>
      <c r="J501" s="1" t="n"/>
    </row>
    <row r="502">
      <c r="A502" s="3" t="n"/>
      <c r="B502" s="3" t="n"/>
      <c r="C502" s="3" t="n"/>
      <c r="D502" s="4" t="inlineStr">
        <is>
          <t xml:space="preserve">Data </t>
        </is>
      </c>
      <c r="E502" s="3" t="n"/>
      <c r="F502" s="3" t="n"/>
      <c r="G502" s="3" t="n"/>
      <c r="H502" s="3" t="n"/>
      <c r="I502" s="3" t="n"/>
      <c r="J502" s="3" t="n"/>
    </row>
    <row r="503" ht="38.25" customHeight="1">
      <c r="A503" s="5" t="n"/>
      <c r="B503" s="6" t="n"/>
      <c r="C503" s="5" t="n"/>
      <c r="D503" s="7" t="inlineStr">
        <is>
          <t xml:space="preserve"> Replacement of u/s with new Supply of 12 Surface Mounted PVC Modular Gang Box Makes : Similar to Switches Make 
 </t>
        </is>
      </c>
      <c r="E503" s="7" t="n"/>
      <c r="F503" s="7" t="n"/>
      <c r="G503" s="7" t="n"/>
      <c r="H503" s="7" t="n"/>
      <c r="I503" s="7" t="n"/>
      <c r="J503" s="7" t="n"/>
    </row>
    <row r="504" ht="25.5" customHeight="1">
      <c r="A504" s="8" t="n"/>
      <c r="B504" s="6" t="inlineStr">
        <is>
          <t>SOR 2025-26</t>
        </is>
      </c>
      <c r="C504" s="6" t="n"/>
      <c r="D504" s="9" t="inlineStr">
        <is>
          <t>a) Material</t>
        </is>
      </c>
      <c r="E504" s="10" t="inlineStr">
        <is>
          <t>Qty</t>
        </is>
      </c>
      <c r="F504" s="6" t="inlineStr">
        <is>
          <t>Unit</t>
        </is>
      </c>
      <c r="G504" s="11" t="inlineStr">
        <is>
          <t>Qty</t>
        </is>
      </c>
      <c r="H504" s="6" t="inlineStr">
        <is>
          <t>Unit</t>
        </is>
      </c>
      <c r="I504" s="10" t="inlineStr">
        <is>
          <t>Rate per item</t>
        </is>
      </c>
      <c r="J504" s="12" t="inlineStr">
        <is>
          <t>Amount</t>
        </is>
      </c>
    </row>
    <row r="505" ht="38.25" customHeight="1">
      <c r="A505" s="8" t="n"/>
      <c r="B505" s="26" t="inlineStr">
        <is>
          <t>ELEC-1.3.2 f</t>
        </is>
      </c>
      <c r="C505" s="6" t="n">
        <v>1</v>
      </c>
      <c r="D505" s="9">
        <f>D503</f>
        <v/>
      </c>
      <c r="E505" s="14" t="n">
        <v>1</v>
      </c>
      <c r="F505" s="14" t="inlineStr">
        <is>
          <t>each</t>
        </is>
      </c>
      <c r="G505" s="14" t="n">
        <v>1</v>
      </c>
      <c r="H505" s="14" t="inlineStr">
        <is>
          <t>each</t>
        </is>
      </c>
      <c r="I505" s="14" t="n">
        <v>257</v>
      </c>
      <c r="J505" s="12">
        <f>I505*E505</f>
        <v/>
      </c>
    </row>
    <row r="506">
      <c r="A506" s="6" t="n"/>
      <c r="B506" s="6" t="n"/>
      <c r="C506" s="6" t="n"/>
      <c r="D506" s="9" t="inlineStr">
        <is>
          <t>Cost of materials per each</t>
        </is>
      </c>
      <c r="E506" s="10" t="n"/>
      <c r="F506" s="6" t="n"/>
      <c r="G506" s="6" t="n"/>
      <c r="H506" s="6" t="n"/>
      <c r="I506" s="10" t="n"/>
      <c r="J506" s="17">
        <f>J505</f>
        <v/>
      </c>
    </row>
    <row r="507">
      <c r="A507" s="6" t="n"/>
      <c r="B507" s="5" t="n"/>
      <c r="C507" s="6" t="n"/>
      <c r="D507" s="16" t="inlineStr">
        <is>
          <t>Add OH@10.615%</t>
        </is>
      </c>
      <c r="E507" s="17" t="n"/>
      <c r="F507" s="5" t="n"/>
      <c r="G507" s="5" t="n"/>
      <c r="H507" s="5" t="n"/>
      <c r="I507" s="17" t="n"/>
      <c r="J507" s="17">
        <f>10.615%*J506</f>
        <v/>
      </c>
    </row>
    <row r="508">
      <c r="A508" s="6" t="n"/>
      <c r="B508" s="5" t="n"/>
      <c r="C508" s="6" t="n"/>
      <c r="D508" s="16" t="inlineStr">
        <is>
          <t>Total</t>
        </is>
      </c>
      <c r="E508" s="17" t="n"/>
      <c r="F508" s="5" t="n"/>
      <c r="G508" s="5" t="n"/>
      <c r="H508" s="5" t="n"/>
      <c r="I508" s="17" t="n"/>
      <c r="J508" s="17">
        <f>J506+J507</f>
        <v/>
      </c>
    </row>
    <row r="509">
      <c r="A509" s="19" t="n"/>
      <c r="B509" s="20" t="n"/>
      <c r="C509" s="19" t="n"/>
      <c r="D509" s="19" t="n"/>
      <c r="E509" s="19" t="n"/>
      <c r="F509" s="19" t="n"/>
      <c r="G509" s="19" t="n"/>
      <c r="H509" s="19" t="n"/>
      <c r="I509" s="19" t="inlineStr">
        <is>
          <t>Or Say</t>
        </is>
      </c>
      <c r="J509" s="21">
        <f>ROUND(J508,0)</f>
        <v/>
      </c>
    </row>
    <row r="510">
      <c r="A510" s="1" t="n"/>
      <c r="B510" s="1" t="n"/>
      <c r="C510" s="1" t="n"/>
      <c r="D510" s="2" t="inlineStr">
        <is>
          <t>8 OR 9Surface Mounted PVC Modular Gang Box</t>
        </is>
      </c>
      <c r="E510" s="1" t="n"/>
      <c r="F510" s="1" t="n"/>
      <c r="G510" s="1" t="n"/>
      <c r="H510" s="1" t="n"/>
      <c r="I510" s="1" t="n"/>
      <c r="J510" s="1" t="n"/>
    </row>
    <row r="511">
      <c r="A511" s="3" t="n"/>
      <c r="B511" s="3" t="n"/>
      <c r="C511" s="3" t="n"/>
      <c r="D511" s="4" t="inlineStr">
        <is>
          <t xml:space="preserve">Data </t>
        </is>
      </c>
      <c r="E511" s="3" t="n"/>
      <c r="F511" s="3" t="n"/>
      <c r="G511" s="3" t="n"/>
      <c r="H511" s="3" t="n"/>
      <c r="I511" s="3" t="n"/>
      <c r="J511" s="3" t="n"/>
    </row>
    <row r="512" ht="25.5" customHeight="1">
      <c r="A512" s="5" t="n"/>
      <c r="B512" s="6" t="n"/>
      <c r="C512" s="5" t="n"/>
      <c r="D512" s="7" t="inlineStr">
        <is>
          <t xml:space="preserve">Replacement of u/s with new  Supply of 8 OR 9Surface Mounted PVC Modular Gang Box Makes : Similar to Switches Make </t>
        </is>
      </c>
      <c r="E512" s="7" t="n"/>
      <c r="F512" s="7" t="n"/>
      <c r="G512" s="7" t="n"/>
      <c r="H512" s="7" t="n"/>
      <c r="I512" s="7" t="n"/>
      <c r="J512" s="7" t="n"/>
    </row>
    <row r="513" ht="25.5" customHeight="1">
      <c r="A513" s="8" t="n"/>
      <c r="B513" s="6" t="inlineStr">
        <is>
          <t>SOR 2025-26</t>
        </is>
      </c>
      <c r="C513" s="6" t="n"/>
      <c r="D513" s="9" t="inlineStr">
        <is>
          <t>a) Material</t>
        </is>
      </c>
      <c r="E513" s="10" t="inlineStr">
        <is>
          <t>Qty</t>
        </is>
      </c>
      <c r="F513" s="6" t="inlineStr">
        <is>
          <t>Unit</t>
        </is>
      </c>
      <c r="G513" s="11" t="inlineStr">
        <is>
          <t>Qty</t>
        </is>
      </c>
      <c r="H513" s="6" t="inlineStr">
        <is>
          <t>Unit</t>
        </is>
      </c>
      <c r="I513" s="10" t="inlineStr">
        <is>
          <t>Rate per item</t>
        </is>
      </c>
      <c r="J513" s="12" t="inlineStr">
        <is>
          <t>Amount</t>
        </is>
      </c>
    </row>
    <row r="514" ht="25.5" customHeight="1">
      <c r="A514" s="8" t="n"/>
      <c r="B514" s="26" t="inlineStr">
        <is>
          <t>ELEC-1.3.2 e</t>
        </is>
      </c>
      <c r="C514" s="6" t="n">
        <v>1</v>
      </c>
      <c r="D514" s="9" t="inlineStr">
        <is>
          <t xml:space="preserve">  Supply of 8 OR 9Surface Mounted PVC Modular Gang Box Makes : Similar to Switches Make </t>
        </is>
      </c>
      <c r="E514" s="14" t="n">
        <v>1</v>
      </c>
      <c r="F514" s="14" t="inlineStr">
        <is>
          <t>each</t>
        </is>
      </c>
      <c r="G514" s="14" t="n">
        <v>1</v>
      </c>
      <c r="H514" s="14" t="inlineStr">
        <is>
          <t>each</t>
        </is>
      </c>
      <c r="I514" s="14" t="n">
        <v>210</v>
      </c>
      <c r="J514" s="12">
        <f>I514*E514</f>
        <v/>
      </c>
    </row>
    <row r="515">
      <c r="A515" s="6" t="n"/>
      <c r="B515" s="6" t="n"/>
      <c r="C515" s="6" t="n"/>
      <c r="D515" s="9" t="inlineStr">
        <is>
          <t>Cost of materials per each</t>
        </is>
      </c>
      <c r="E515" s="10" t="n"/>
      <c r="F515" s="6" t="n"/>
      <c r="G515" s="6" t="n"/>
      <c r="H515" s="6" t="n"/>
      <c r="I515" s="10" t="n"/>
      <c r="J515" s="17">
        <f>J514</f>
        <v/>
      </c>
    </row>
    <row r="516">
      <c r="A516" s="6" t="n"/>
      <c r="B516" s="5" t="n"/>
      <c r="C516" s="6" t="n"/>
      <c r="D516" s="16" t="inlineStr">
        <is>
          <t>Add OH@10.615%</t>
        </is>
      </c>
      <c r="E516" s="17" t="n"/>
      <c r="F516" s="5" t="n"/>
      <c r="G516" s="5" t="n"/>
      <c r="H516" s="5" t="n"/>
      <c r="I516" s="17" t="n"/>
      <c r="J516" s="17">
        <f>10.615%*J515</f>
        <v/>
      </c>
    </row>
    <row r="517">
      <c r="A517" s="6" t="n"/>
      <c r="B517" s="5" t="n"/>
      <c r="C517" s="6" t="n"/>
      <c r="D517" s="16" t="inlineStr">
        <is>
          <t>Total</t>
        </is>
      </c>
      <c r="E517" s="17" t="n"/>
      <c r="F517" s="5" t="n"/>
      <c r="G517" s="5" t="n"/>
      <c r="H517" s="5" t="n"/>
      <c r="I517" s="17" t="n"/>
      <c r="J517" s="17">
        <f>J515+J516</f>
        <v/>
      </c>
    </row>
    <row r="518">
      <c r="A518" s="19" t="n"/>
      <c r="B518" s="20" t="n"/>
      <c r="C518" s="19" t="n"/>
      <c r="D518" s="19" t="n"/>
      <c r="E518" s="19" t="n"/>
      <c r="F518" s="19" t="n"/>
      <c r="G518" s="19" t="n"/>
      <c r="H518" s="19" t="n"/>
      <c r="I518" s="19" t="inlineStr">
        <is>
          <t>Or Say</t>
        </is>
      </c>
      <c r="J518" s="21">
        <f>ROUND(J517,0)</f>
        <v/>
      </c>
    </row>
    <row r="519">
      <c r="A519" s="1" t="n"/>
      <c r="B519" s="1" t="n"/>
      <c r="C519" s="1" t="n"/>
      <c r="D519" s="2" t="inlineStr">
        <is>
          <t>6 Surface Mounted PVC Modular Gang Box</t>
        </is>
      </c>
      <c r="E519" s="1" t="n"/>
      <c r="F519" s="1" t="n"/>
      <c r="G519" s="1" t="n"/>
      <c r="H519" s="1" t="n"/>
      <c r="I519" s="1" t="n"/>
      <c r="J519" s="1" t="n"/>
    </row>
    <row r="520">
      <c r="A520" s="3" t="n"/>
      <c r="B520" s="3" t="n"/>
      <c r="C520" s="3" t="n"/>
      <c r="D520" s="4" t="inlineStr">
        <is>
          <t xml:space="preserve">Data </t>
        </is>
      </c>
      <c r="E520" s="3" t="n"/>
      <c r="F520" s="3" t="n"/>
      <c r="G520" s="3" t="n"/>
      <c r="H520" s="3" t="n"/>
      <c r="I520" s="3" t="n"/>
      <c r="J520" s="3" t="n"/>
    </row>
    <row r="521" ht="25.5" customHeight="1">
      <c r="A521" s="5" t="n"/>
      <c r="B521" s="6" t="n"/>
      <c r="C521" s="5" t="n"/>
      <c r="D521" s="7" t="inlineStr">
        <is>
          <t xml:space="preserve"> Replacement of u/s with new Supply of 6 Surface Mounted PVC Modular Gang Box Makes : Similar to Switches Make </t>
        </is>
      </c>
      <c r="E521" s="7" t="n"/>
      <c r="F521" s="7" t="n"/>
      <c r="G521" s="7" t="n"/>
      <c r="H521" s="7" t="n"/>
      <c r="I521" s="7" t="n"/>
      <c r="J521" s="7" t="n"/>
    </row>
    <row r="522" ht="25.5" customHeight="1">
      <c r="A522" s="8" t="n"/>
      <c r="B522" s="6" t="inlineStr">
        <is>
          <t>SOR 2025-26</t>
        </is>
      </c>
      <c r="C522" s="6" t="n"/>
      <c r="D522" s="9" t="inlineStr">
        <is>
          <t>a) Material</t>
        </is>
      </c>
      <c r="E522" s="10" t="inlineStr">
        <is>
          <t>Qty</t>
        </is>
      </c>
      <c r="F522" s="6" t="inlineStr">
        <is>
          <t>Unit</t>
        </is>
      </c>
      <c r="G522" s="11" t="inlineStr">
        <is>
          <t>Qty</t>
        </is>
      </c>
      <c r="H522" s="6" t="inlineStr">
        <is>
          <t>Unit</t>
        </is>
      </c>
      <c r="I522" s="10" t="inlineStr">
        <is>
          <t>Rate per item</t>
        </is>
      </c>
      <c r="J522" s="12" t="inlineStr">
        <is>
          <t>Amount</t>
        </is>
      </c>
    </row>
    <row r="523" ht="25.5" customHeight="1">
      <c r="A523" s="8" t="n"/>
      <c r="B523" s="26" t="inlineStr">
        <is>
          <t>ELEC-1.3.2 d</t>
        </is>
      </c>
      <c r="C523" s="6" t="n">
        <v>1</v>
      </c>
      <c r="D523" s="9" t="inlineStr">
        <is>
          <t xml:space="preserve"> Supply of 6 Surface Mounted PVC Modular Gang Box Makes : Similar to Switches Make </t>
        </is>
      </c>
      <c r="E523" s="14" t="n">
        <v>1</v>
      </c>
      <c r="F523" s="14" t="inlineStr">
        <is>
          <t>each</t>
        </is>
      </c>
      <c r="G523" s="14" t="n">
        <v>1</v>
      </c>
      <c r="H523" s="14" t="inlineStr">
        <is>
          <t>each</t>
        </is>
      </c>
      <c r="I523" s="14" t="n">
        <v>163</v>
      </c>
      <c r="J523" s="12">
        <f>I523*E523</f>
        <v/>
      </c>
    </row>
    <row r="524">
      <c r="A524" s="6" t="n"/>
      <c r="B524" s="6" t="n"/>
      <c r="C524" s="6" t="n"/>
      <c r="D524" s="9" t="inlineStr">
        <is>
          <t>Cost of materials per each</t>
        </is>
      </c>
      <c r="E524" s="10" t="n"/>
      <c r="F524" s="6" t="n"/>
      <c r="G524" s="6" t="n"/>
      <c r="H524" s="6" t="n"/>
      <c r="I524" s="10" t="n"/>
      <c r="J524" s="17">
        <f>J523</f>
        <v/>
      </c>
    </row>
    <row r="525">
      <c r="A525" s="6" t="n"/>
      <c r="B525" s="5" t="n"/>
      <c r="C525" s="6" t="n"/>
      <c r="D525" s="16" t="inlineStr">
        <is>
          <t>Add OH@10.615%</t>
        </is>
      </c>
      <c r="E525" s="17" t="n"/>
      <c r="F525" s="5" t="n"/>
      <c r="G525" s="5" t="n"/>
      <c r="H525" s="5" t="n"/>
      <c r="I525" s="17" t="n"/>
      <c r="J525" s="17">
        <f>10.615%*J524</f>
        <v/>
      </c>
    </row>
    <row r="526">
      <c r="A526" s="6" t="n"/>
      <c r="B526" s="5" t="n"/>
      <c r="C526" s="6" t="n"/>
      <c r="D526" s="16" t="inlineStr">
        <is>
          <t>Total</t>
        </is>
      </c>
      <c r="E526" s="17" t="n"/>
      <c r="F526" s="5" t="n"/>
      <c r="G526" s="5" t="n"/>
      <c r="H526" s="5" t="n"/>
      <c r="I526" s="17" t="n"/>
      <c r="J526" s="17">
        <f>J524+J525</f>
        <v/>
      </c>
    </row>
    <row r="527">
      <c r="A527" s="19" t="n"/>
      <c r="B527" s="20" t="n"/>
      <c r="C527" s="19" t="n"/>
      <c r="D527" s="19" t="n"/>
      <c r="E527" s="19" t="n"/>
      <c r="F527" s="19" t="n"/>
      <c r="G527" s="19" t="n"/>
      <c r="H527" s="19" t="n"/>
      <c r="I527" s="19" t="inlineStr">
        <is>
          <t>Or Say</t>
        </is>
      </c>
      <c r="J527" s="21">
        <f>ROUND(J526,0)</f>
        <v/>
      </c>
    </row>
    <row r="528">
      <c r="A528" s="1" t="n"/>
      <c r="B528" s="1" t="n"/>
      <c r="C528" s="1" t="n"/>
      <c r="D528" s="2" t="inlineStr">
        <is>
          <t>4  Surface Mounted PVC Modular Gang Box</t>
        </is>
      </c>
      <c r="E528" s="1" t="n"/>
      <c r="F528" s="1" t="n"/>
      <c r="G528" s="1" t="n"/>
      <c r="H528" s="1" t="n"/>
      <c r="I528" s="1" t="n"/>
      <c r="J528" s="1" t="n"/>
    </row>
    <row r="529">
      <c r="A529" s="3" t="n"/>
      <c r="B529" s="3" t="n"/>
      <c r="C529" s="3" t="n"/>
      <c r="D529" s="4" t="inlineStr">
        <is>
          <t xml:space="preserve">Data </t>
        </is>
      </c>
      <c r="E529" s="3" t="n"/>
      <c r="F529" s="3" t="n"/>
      <c r="G529" s="3" t="n"/>
      <c r="H529" s="3" t="n"/>
      <c r="I529" s="3" t="n"/>
      <c r="J529" s="3" t="n"/>
    </row>
    <row r="530" ht="38.25" customHeight="1">
      <c r="A530" s="5" t="n"/>
      <c r="B530" s="6" t="n"/>
      <c r="C530" s="5" t="n"/>
      <c r="D530" s="7" t="inlineStr">
        <is>
          <t xml:space="preserve"> Replacement of u/s with new Supply of 4  Surface Mounted PVC Modular Gang Box Makes : Similar to Switches Make 
 </t>
        </is>
      </c>
      <c r="E530" s="7" t="n"/>
      <c r="F530" s="7" t="n"/>
      <c r="G530" s="7" t="n"/>
      <c r="H530" s="7" t="n"/>
      <c r="I530" s="7" t="n"/>
      <c r="J530" s="7" t="n"/>
    </row>
    <row r="531" ht="25.5" customHeight="1">
      <c r="A531" s="8" t="n"/>
      <c r="B531" s="6" t="inlineStr">
        <is>
          <t>SOR 2025-26</t>
        </is>
      </c>
      <c r="C531" s="6" t="n"/>
      <c r="D531" s="9" t="inlineStr">
        <is>
          <t>a) Material</t>
        </is>
      </c>
      <c r="E531" s="10" t="inlineStr">
        <is>
          <t>Qty</t>
        </is>
      </c>
      <c r="F531" s="6" t="inlineStr">
        <is>
          <t>Unit</t>
        </is>
      </c>
      <c r="G531" s="11" t="inlineStr">
        <is>
          <t>Qty</t>
        </is>
      </c>
      <c r="H531" s="6" t="inlineStr">
        <is>
          <t>Unit</t>
        </is>
      </c>
      <c r="I531" s="10" t="inlineStr">
        <is>
          <t>Rate per item</t>
        </is>
      </c>
      <c r="J531" s="12" t="inlineStr">
        <is>
          <t>Amount</t>
        </is>
      </c>
    </row>
    <row r="532" ht="25.5" customHeight="1">
      <c r="A532" s="8" t="n"/>
      <c r="B532" s="26" t="inlineStr">
        <is>
          <t>ELEC-1.3.2 c</t>
        </is>
      </c>
      <c r="C532" s="6" t="n">
        <v>1</v>
      </c>
      <c r="D532" s="9" t="inlineStr">
        <is>
          <t xml:space="preserve">Supply of 4  Surface Mounted PVC Modular Gang Box Makes : Similar to Switches Make </t>
        </is>
      </c>
      <c r="E532" s="14" t="n">
        <v>1</v>
      </c>
      <c r="F532" s="14" t="inlineStr">
        <is>
          <t>each</t>
        </is>
      </c>
      <c r="G532" s="14" t="n">
        <v>1</v>
      </c>
      <c r="H532" s="14" t="inlineStr">
        <is>
          <t>each</t>
        </is>
      </c>
      <c r="I532" s="14" t="n">
        <v>121</v>
      </c>
      <c r="J532" s="12">
        <f>I532*E532</f>
        <v/>
      </c>
    </row>
    <row r="533">
      <c r="A533" s="6" t="n"/>
      <c r="B533" s="6" t="n"/>
      <c r="C533" s="6" t="n"/>
      <c r="D533" s="9" t="inlineStr">
        <is>
          <t>Cost of materials per each</t>
        </is>
      </c>
      <c r="E533" s="10" t="n"/>
      <c r="F533" s="6" t="n"/>
      <c r="G533" s="6" t="n"/>
      <c r="H533" s="6" t="n"/>
      <c r="I533" s="10" t="n"/>
      <c r="J533" s="17">
        <f>J532</f>
        <v/>
      </c>
    </row>
    <row r="534">
      <c r="A534" s="6" t="n"/>
      <c r="B534" s="5" t="n"/>
      <c r="C534" s="6" t="n"/>
      <c r="D534" s="16" t="inlineStr">
        <is>
          <t>Add OH@10.615%</t>
        </is>
      </c>
      <c r="E534" s="17" t="n"/>
      <c r="F534" s="5" t="n"/>
      <c r="G534" s="5" t="n"/>
      <c r="H534" s="5" t="n"/>
      <c r="I534" s="17" t="n"/>
      <c r="J534" s="17">
        <f>10.615%*J533</f>
        <v/>
      </c>
    </row>
    <row r="535">
      <c r="A535" s="6" t="n"/>
      <c r="B535" s="5" t="n"/>
      <c r="C535" s="6" t="n"/>
      <c r="D535" s="16" t="inlineStr">
        <is>
          <t>Total</t>
        </is>
      </c>
      <c r="E535" s="17" t="n"/>
      <c r="F535" s="5" t="n"/>
      <c r="G535" s="5" t="n"/>
      <c r="H535" s="5" t="n"/>
      <c r="I535" s="17" t="n"/>
      <c r="J535" s="17">
        <f>J533+J534</f>
        <v/>
      </c>
    </row>
    <row r="536">
      <c r="A536" s="6" t="n"/>
      <c r="B536" s="5" t="n"/>
      <c r="C536" s="6" t="n"/>
      <c r="D536" s="16" t="n"/>
      <c r="E536" s="17" t="n"/>
      <c r="F536" s="5" t="n"/>
      <c r="G536" s="5" t="n"/>
      <c r="H536" s="5" t="n"/>
      <c r="I536" s="17" t="inlineStr">
        <is>
          <t>Or Say</t>
        </is>
      </c>
      <c r="J536" s="21">
        <f>ROUND(J535,0)</f>
        <v/>
      </c>
    </row>
    <row r="537">
      <c r="A537" s="1" t="n"/>
      <c r="B537" s="1" t="n"/>
      <c r="C537" s="1" t="n"/>
      <c r="D537" s="2" t="inlineStr">
        <is>
          <t>3 Surface Mounted PVC Modular Gang Box</t>
        </is>
      </c>
      <c r="E537" s="1" t="n"/>
      <c r="F537" s="1" t="n"/>
      <c r="G537" s="1" t="n"/>
      <c r="H537" s="1" t="n"/>
      <c r="I537" s="1" t="n"/>
      <c r="J537" s="1" t="n"/>
    </row>
    <row r="538">
      <c r="A538" s="3" t="n"/>
      <c r="B538" s="3" t="n"/>
      <c r="C538" s="3" t="n"/>
      <c r="D538" s="4" t="inlineStr">
        <is>
          <t xml:space="preserve">Data </t>
        </is>
      </c>
      <c r="E538" s="3" t="n"/>
      <c r="F538" s="3" t="n"/>
      <c r="G538" s="3" t="n"/>
      <c r="H538" s="3" t="n"/>
      <c r="I538" s="3" t="n"/>
      <c r="J538" s="3" t="n"/>
    </row>
    <row r="539" ht="38.25" customHeight="1">
      <c r="A539" s="5" t="n"/>
      <c r="B539" s="6" t="n"/>
      <c r="C539" s="5" t="n"/>
      <c r="D539" s="7" t="inlineStr">
        <is>
          <t xml:space="preserve"> Replacement of u/s with new Supply of 3 Surface Mounted PVC Modular Gang Box Makes : Similar to Switches Make   
 </t>
        </is>
      </c>
      <c r="E539" s="7" t="n"/>
      <c r="F539" s="7" t="n"/>
      <c r="G539" s="7" t="n"/>
      <c r="H539" s="7" t="n"/>
      <c r="I539" s="7" t="n"/>
      <c r="J539" s="7" t="n"/>
    </row>
    <row r="540" ht="25.5" customHeight="1">
      <c r="A540" s="8" t="n"/>
      <c r="B540" s="6" t="inlineStr">
        <is>
          <t>SOR 2025-26</t>
        </is>
      </c>
      <c r="C540" s="6" t="n"/>
      <c r="D540" s="9" t="inlineStr">
        <is>
          <t>a) Material</t>
        </is>
      </c>
      <c r="E540" s="10" t="inlineStr">
        <is>
          <t>Qty</t>
        </is>
      </c>
      <c r="F540" s="6" t="inlineStr">
        <is>
          <t>Unit</t>
        </is>
      </c>
      <c r="G540" s="11" t="inlineStr">
        <is>
          <t>Qty</t>
        </is>
      </c>
      <c r="H540" s="6" t="inlineStr">
        <is>
          <t>Unit</t>
        </is>
      </c>
      <c r="I540" s="10" t="inlineStr">
        <is>
          <t>Rate per item</t>
        </is>
      </c>
      <c r="J540" s="12" t="inlineStr">
        <is>
          <t>Amount</t>
        </is>
      </c>
    </row>
    <row r="541" ht="25.5" customHeight="1">
      <c r="A541" s="8" t="n"/>
      <c r="B541" s="26" t="inlineStr">
        <is>
          <t>ELEC-1.3.2 b</t>
        </is>
      </c>
      <c r="C541" s="6" t="n">
        <v>1</v>
      </c>
      <c r="D541" s="9" t="inlineStr">
        <is>
          <t xml:space="preserve">Supply of 3 Surface Mounted PVC Modular Gang Box Makes : Similar to Switches Make   </t>
        </is>
      </c>
      <c r="E541" s="14" t="n">
        <v>1</v>
      </c>
      <c r="F541" s="14" t="inlineStr">
        <is>
          <t>each</t>
        </is>
      </c>
      <c r="G541" s="14" t="n">
        <v>1</v>
      </c>
      <c r="H541" s="14" t="inlineStr">
        <is>
          <t>each</t>
        </is>
      </c>
      <c r="I541" s="14" t="n">
        <v>101</v>
      </c>
      <c r="J541" s="12">
        <f>I541*E541</f>
        <v/>
      </c>
    </row>
    <row r="542">
      <c r="A542" s="6" t="n"/>
      <c r="B542" s="6" t="n"/>
      <c r="C542" s="6" t="n"/>
      <c r="D542" s="9" t="inlineStr">
        <is>
          <t xml:space="preserve"> </t>
        </is>
      </c>
      <c r="E542" s="10" t="n"/>
      <c r="F542" s="6" t="n"/>
      <c r="G542" s="6" t="n"/>
      <c r="H542" s="6" t="n"/>
      <c r="I542" s="10" t="n"/>
      <c r="J542" s="17">
        <f>J541</f>
        <v/>
      </c>
    </row>
    <row r="543">
      <c r="A543" s="6" t="n"/>
      <c r="B543" s="5" t="n"/>
      <c r="C543" s="6" t="n"/>
      <c r="D543" s="16" t="inlineStr">
        <is>
          <t>Add OH@10.615%</t>
        </is>
      </c>
      <c r="E543" s="17" t="n"/>
      <c r="F543" s="5" t="n"/>
      <c r="G543" s="5" t="n"/>
      <c r="H543" s="5" t="n"/>
      <c r="I543" s="17" t="n"/>
      <c r="J543" s="17">
        <f>10.615%*J542</f>
        <v/>
      </c>
    </row>
    <row r="544">
      <c r="A544" s="6" t="n"/>
      <c r="B544" s="5" t="n"/>
      <c r="C544" s="6" t="n"/>
      <c r="D544" s="16" t="inlineStr">
        <is>
          <t>Total</t>
        </is>
      </c>
      <c r="E544" s="17" t="n"/>
      <c r="F544" s="5" t="n"/>
      <c r="G544" s="5" t="n"/>
      <c r="H544" s="5" t="n"/>
      <c r="I544" s="17" t="n"/>
      <c r="J544" s="17">
        <f>J542+J543</f>
        <v/>
      </c>
    </row>
    <row r="545">
      <c r="A545" s="19" t="n"/>
      <c r="B545" s="20" t="n"/>
      <c r="C545" s="19" t="n"/>
      <c r="D545" s="19" t="n"/>
      <c r="E545" s="19" t="n"/>
      <c r="F545" s="19" t="n"/>
      <c r="G545" s="19" t="n"/>
      <c r="H545" s="19" t="n"/>
      <c r="I545" s="19" t="inlineStr">
        <is>
          <t>Or Say</t>
        </is>
      </c>
      <c r="J545" s="21">
        <f>ROUND(J544,0)</f>
        <v/>
      </c>
    </row>
    <row r="546">
      <c r="A546" s="1" t="n"/>
      <c r="B546" s="1" t="n"/>
      <c r="C546" s="1" t="n"/>
      <c r="D546" s="1" t="inlineStr">
        <is>
          <t>4 Sqmm  3 Core. PVC / XLPE Cable</t>
        </is>
      </c>
      <c r="E546" s="1" t="n"/>
      <c r="F546" s="1" t="n"/>
      <c r="G546" s="1" t="n"/>
      <c r="H546" s="1" t="n"/>
      <c r="I546" s="1" t="n"/>
      <c r="J546" s="1" t="n"/>
    </row>
    <row r="547">
      <c r="A547" s="3" t="n"/>
      <c r="B547" s="3" t="n"/>
      <c r="C547" s="3" t="n"/>
      <c r="D547" s="4" t="inlineStr">
        <is>
          <t xml:space="preserve">Data </t>
        </is>
      </c>
      <c r="E547" s="3" t="n"/>
      <c r="F547" s="3" t="n"/>
      <c r="G547" s="3" t="n"/>
      <c r="H547" s="3" t="n"/>
      <c r="I547" s="3" t="n"/>
      <c r="J547" s="3" t="n"/>
    </row>
    <row r="548" ht="51" customHeight="1">
      <c r="A548" s="5" t="n"/>
      <c r="B548" s="6" t="n"/>
      <c r="C548" s="5" t="n"/>
      <c r="D548" s="7" t="inlineStr">
        <is>
          <t>Replacement of u/s with new Supply of 4 Sqmm  3 Core. PVC / XLPE Insulated Sheathed Multi Core Bright Annealed Bare Copper Conductor Heavy Duty Industrial Cables for Voltage Grade upto 1100 Volts as per IS: 694:2010 including all transportation charges etc complete. Makes : Finolex / RR kabel / Havells / Polycab</t>
        </is>
      </c>
      <c r="E548" s="7" t="n"/>
      <c r="F548" s="7" t="n"/>
      <c r="G548" s="7" t="n"/>
      <c r="H548" s="7" t="n"/>
      <c r="I548" s="7" t="n"/>
      <c r="J548" s="7" t="n"/>
    </row>
    <row r="549" ht="25.5" customHeight="1">
      <c r="A549" s="8" t="n"/>
      <c r="B549" s="6" t="inlineStr">
        <is>
          <t>SOR 2025-26</t>
        </is>
      </c>
      <c r="C549" s="6" t="n"/>
      <c r="D549" s="9" t="inlineStr">
        <is>
          <t>a) Material</t>
        </is>
      </c>
      <c r="E549" s="10" t="inlineStr">
        <is>
          <t>Qty</t>
        </is>
      </c>
      <c r="F549" s="6" t="inlineStr">
        <is>
          <t>Unit</t>
        </is>
      </c>
      <c r="G549" s="11" t="inlineStr">
        <is>
          <t>Qty</t>
        </is>
      </c>
      <c r="H549" s="6" t="inlineStr">
        <is>
          <t>Unit</t>
        </is>
      </c>
      <c r="I549" s="10" t="inlineStr">
        <is>
          <t>Rate per item</t>
        </is>
      </c>
      <c r="J549" s="12" t="inlineStr">
        <is>
          <t>Amount</t>
        </is>
      </c>
    </row>
    <row r="550" ht="51" customHeight="1">
      <c r="A550" s="8" t="n"/>
      <c r="B550" s="26" t="inlineStr">
        <is>
          <t>ELEC-1.5.5 o</t>
        </is>
      </c>
      <c r="C550" s="6" t="n">
        <v>1</v>
      </c>
      <c r="D550" s="9" t="inlineStr">
        <is>
          <t xml:space="preserve">Supply of 4 Sqmm  3 Core. PVC / XLPE Insulated Sheathed Multi Core Bright Annealed Bare Copper Conductor Heavy Duty Industrial Cables for Voltage Grade upto 1100 Volts as per IS: 694:2010 including all transportation charges etc complete. Makes : Finolex / RR kabel / Havells / Polycab </t>
        </is>
      </c>
      <c r="E550" s="14" t="n">
        <v>1</v>
      </c>
      <c r="F550" s="14" t="inlineStr">
        <is>
          <t>each</t>
        </is>
      </c>
      <c r="G550" s="14" t="n">
        <v>1</v>
      </c>
      <c r="H550" s="14" t="inlineStr">
        <is>
          <t>each</t>
        </is>
      </c>
      <c r="I550" s="14" t="n">
        <v>215</v>
      </c>
      <c r="J550" s="12">
        <f>I550*E550</f>
        <v/>
      </c>
    </row>
    <row r="551">
      <c r="A551" s="6" t="n"/>
      <c r="B551" s="6" t="n"/>
      <c r="C551" s="6" t="n"/>
      <c r="D551" s="9" t="inlineStr">
        <is>
          <t>Cost of materials per each</t>
        </is>
      </c>
      <c r="E551" s="10" t="n"/>
      <c r="F551" s="6" t="n"/>
      <c r="G551" s="6" t="n"/>
      <c r="H551" s="6" t="n"/>
      <c r="I551" s="10" t="n"/>
      <c r="J551" s="17">
        <f>J550</f>
        <v/>
      </c>
    </row>
    <row r="552">
      <c r="A552" s="6" t="n"/>
      <c r="B552" s="5" t="n"/>
      <c r="C552" s="6" t="n"/>
      <c r="D552" s="16" t="inlineStr">
        <is>
          <t>Add OH@10.615%</t>
        </is>
      </c>
      <c r="E552" s="17" t="n"/>
      <c r="F552" s="5" t="n"/>
      <c r="G552" s="5" t="n"/>
      <c r="H552" s="5" t="n"/>
      <c r="I552" s="17" t="n"/>
      <c r="J552" s="17">
        <f>10.615%*J551</f>
        <v/>
      </c>
    </row>
    <row r="553">
      <c r="A553" s="6" t="n"/>
      <c r="B553" s="5" t="n"/>
      <c r="C553" s="6" t="n"/>
      <c r="D553" s="16" t="inlineStr">
        <is>
          <t>Total</t>
        </is>
      </c>
      <c r="E553" s="17" t="n"/>
      <c r="F553" s="5" t="n"/>
      <c r="G553" s="5" t="n"/>
      <c r="H553" s="5" t="n"/>
      <c r="I553" s="17" t="n"/>
      <c r="J553" s="17">
        <f>J551+J552</f>
        <v/>
      </c>
    </row>
    <row r="554">
      <c r="A554" s="19" t="n"/>
      <c r="B554" s="20" t="n"/>
      <c r="C554" s="19" t="n"/>
      <c r="D554" s="19" t="n"/>
      <c r="E554" s="19" t="n"/>
      <c r="F554" s="19" t="n"/>
      <c r="G554" s="19" t="n"/>
      <c r="H554" s="19" t="n"/>
      <c r="I554" s="19" t="inlineStr">
        <is>
          <t>Or Say</t>
        </is>
      </c>
      <c r="J554" s="21">
        <f>ROUND(J553,0)</f>
        <v/>
      </c>
    </row>
    <row r="555">
      <c r="A555" s="1" t="n"/>
      <c r="B555" s="1" t="n"/>
      <c r="C555" s="1" t="n"/>
      <c r="D555" s="2" t="inlineStr">
        <is>
          <t>1 HP Single phase Monoblock motor pumpset</t>
        </is>
      </c>
      <c r="E555" s="1" t="n"/>
      <c r="F555" s="1" t="n"/>
      <c r="G555" s="1" t="n"/>
      <c r="H555" s="1" t="n"/>
      <c r="I555" s="1" t="n"/>
      <c r="J555" s="1" t="n"/>
    </row>
    <row r="556">
      <c r="A556" s="3" t="n"/>
      <c r="B556" s="3" t="n"/>
      <c r="C556" s="3" t="n"/>
      <c r="D556" s="4" t="inlineStr">
        <is>
          <t xml:space="preserve">Data </t>
        </is>
      </c>
      <c r="E556" s="3" t="n"/>
      <c r="F556" s="3" t="n"/>
      <c r="G556" s="3" t="n"/>
      <c r="H556" s="3" t="n"/>
      <c r="I556" s="3" t="n"/>
      <c r="J556" s="3" t="n"/>
    </row>
    <row r="557" ht="38.25" customHeight="1">
      <c r="A557" s="5" t="n"/>
      <c r="B557" s="6" t="n"/>
      <c r="C557" s="5" t="n"/>
      <c r="D557" s="7" t="inlineStr">
        <is>
          <t>Replacement of u/s with new Supply and Transportation of 1 HP Single phase ISI Mono block CI body motor pumpset (25x25mm).Makes: Texmo / CRI / KSB / Aryenvarsha / Lubi / Falcon</t>
        </is>
      </c>
      <c r="E557" s="7" t="n"/>
      <c r="F557" s="7" t="n"/>
      <c r="G557" s="7" t="n"/>
      <c r="H557" s="7" t="n"/>
      <c r="I557" s="7" t="n"/>
      <c r="J557" s="7" t="n"/>
    </row>
    <row r="558" ht="25.5" customHeight="1">
      <c r="A558" s="8" t="n"/>
      <c r="B558" s="6" t="inlineStr">
        <is>
          <t>SOR 2025-26</t>
        </is>
      </c>
      <c r="C558" s="6" t="n"/>
      <c r="D558" s="9" t="inlineStr">
        <is>
          <t>a) Material</t>
        </is>
      </c>
      <c r="E558" s="10" t="inlineStr">
        <is>
          <t>Qty</t>
        </is>
      </c>
      <c r="F558" s="6" t="inlineStr">
        <is>
          <t>Unit</t>
        </is>
      </c>
      <c r="G558" s="11" t="inlineStr">
        <is>
          <t>Qty</t>
        </is>
      </c>
      <c r="H558" s="6" t="inlineStr">
        <is>
          <t>Unit</t>
        </is>
      </c>
      <c r="I558" s="10" t="inlineStr">
        <is>
          <t>Rate per item</t>
        </is>
      </c>
      <c r="J558" s="12" t="inlineStr">
        <is>
          <t>Amount</t>
        </is>
      </c>
    </row>
    <row r="559" ht="25.5" customHeight="1">
      <c r="A559" s="8" t="n"/>
      <c r="B559" s="26" t="inlineStr">
        <is>
          <t>ELEC-5.10.3 a</t>
        </is>
      </c>
      <c r="C559" s="6" t="n">
        <v>1</v>
      </c>
      <c r="D559" s="9" t="inlineStr">
        <is>
          <t>Supply and Transportation of 1 HP Single phase ISI Mono block CI body motor pumpset (25x25mm).Makes: Texmo / CRI / KSB / Aryenvarsha / Lubi / Falcon</t>
        </is>
      </c>
      <c r="E559" s="14" t="n">
        <v>1</v>
      </c>
      <c r="F559" s="14" t="inlineStr">
        <is>
          <t>each</t>
        </is>
      </c>
      <c r="G559" s="14" t="n">
        <v>1</v>
      </c>
      <c r="H559" s="14" t="inlineStr">
        <is>
          <t>each</t>
        </is>
      </c>
      <c r="I559" s="14" t="n">
        <v>15750</v>
      </c>
      <c r="J559" s="12">
        <f>I559*E559</f>
        <v/>
      </c>
    </row>
    <row r="560">
      <c r="A560" s="6" t="n"/>
      <c r="B560" s="6" t="n"/>
      <c r="C560" s="6" t="n"/>
      <c r="D560" s="9" t="inlineStr">
        <is>
          <t>Cost of materials per each</t>
        </is>
      </c>
      <c r="E560" s="10" t="n"/>
      <c r="F560" s="6" t="n"/>
      <c r="G560" s="6" t="n"/>
      <c r="H560" s="6" t="n"/>
      <c r="I560" s="10" t="n"/>
      <c r="J560" s="17">
        <f>J559</f>
        <v/>
      </c>
    </row>
    <row r="561">
      <c r="A561" s="6" t="n"/>
      <c r="B561" s="5" t="n"/>
      <c r="C561" s="6" t="n"/>
      <c r="D561" s="16" t="inlineStr">
        <is>
          <t>Add OH@10.615%</t>
        </is>
      </c>
      <c r="E561" s="17" t="n"/>
      <c r="F561" s="5" t="n"/>
      <c r="G561" s="5" t="n"/>
      <c r="H561" s="5" t="n"/>
      <c r="I561" s="17" t="n"/>
      <c r="J561" s="17">
        <f>10.615%*J560</f>
        <v/>
      </c>
    </row>
    <row r="562">
      <c r="A562" s="6" t="n"/>
      <c r="B562" s="5" t="n"/>
      <c r="C562" s="6" t="n"/>
      <c r="D562" s="16" t="inlineStr">
        <is>
          <t>Total</t>
        </is>
      </c>
      <c r="E562" s="17" t="n"/>
      <c r="F562" s="5" t="n"/>
      <c r="G562" s="5" t="n"/>
      <c r="H562" s="5" t="n"/>
      <c r="I562" s="17" t="n"/>
      <c r="J562" s="17">
        <f>J560+J561</f>
        <v/>
      </c>
    </row>
    <row r="563">
      <c r="A563" s="19" t="n"/>
      <c r="B563" s="20" t="n"/>
      <c r="C563" s="19" t="n"/>
      <c r="D563" s="19" t="n"/>
      <c r="E563" s="19" t="n"/>
      <c r="F563" s="19" t="n"/>
      <c r="G563" s="19" t="n"/>
      <c r="H563" s="19" t="n"/>
      <c r="I563" s="19" t="inlineStr">
        <is>
          <t>Or Say</t>
        </is>
      </c>
      <c r="J563" s="21">
        <f>ROUND(J562,0)</f>
        <v/>
      </c>
    </row>
    <row r="564">
      <c r="A564" s="6" t="n"/>
      <c r="B564" s="5" t="n"/>
      <c r="C564" s="6" t="n"/>
      <c r="D564" s="16" t="n"/>
      <c r="E564" s="17" t="n"/>
      <c r="F564" s="5" t="n"/>
      <c r="G564" s="5" t="n"/>
      <c r="H564" s="5" t="n"/>
      <c r="I564" s="17" t="n"/>
      <c r="J564" s="17" t="n"/>
    </row>
    <row r="565">
      <c r="A565" s="1" t="n"/>
      <c r="B565" s="1" t="n"/>
      <c r="C565" s="1" t="n"/>
      <c r="D565" s="2" t="inlineStr">
        <is>
          <t>1 HP Single phase openwell submersible motor pumpset</t>
        </is>
      </c>
      <c r="E565" s="1" t="n"/>
      <c r="F565" s="1" t="n"/>
      <c r="G565" s="1" t="n"/>
      <c r="H565" s="1" t="n"/>
      <c r="I565" s="1" t="n"/>
      <c r="J565" s="1" t="n"/>
    </row>
    <row r="566">
      <c r="A566" s="3" t="n"/>
      <c r="B566" s="3" t="n"/>
      <c r="C566" s="3" t="n"/>
      <c r="D566" s="4" t="inlineStr">
        <is>
          <t xml:space="preserve">Data </t>
        </is>
      </c>
      <c r="E566" s="3" t="n"/>
      <c r="F566" s="3" t="n"/>
      <c r="G566" s="3" t="n"/>
      <c r="H566" s="3" t="n"/>
      <c r="I566" s="3" t="n"/>
      <c r="J566" s="3" t="n"/>
    </row>
    <row r="567" ht="38.25" customHeight="1">
      <c r="A567" s="5" t="n"/>
      <c r="B567" s="6" t="n"/>
      <c r="C567" s="5" t="n"/>
      <c r="D567" s="7" t="inlineStr">
        <is>
          <t xml:space="preserve">Replacement of u/s with new Supply, Transportation and Installation  of-1 HP Single phase open well ISI submersible motor pumpset. Makes: Texmo / CRI / KSB / Aryenvarsha / Lubi / Falcon </t>
        </is>
      </c>
      <c r="E567" s="7" t="n"/>
      <c r="F567" s="7" t="n"/>
      <c r="G567" s="7" t="n"/>
      <c r="H567" s="7" t="n"/>
      <c r="I567" s="7" t="n"/>
      <c r="J567" s="7" t="n"/>
    </row>
    <row r="568" ht="25.5" customHeight="1">
      <c r="A568" s="8" t="n"/>
      <c r="B568" s="6" t="inlineStr">
        <is>
          <t>SOR 2025-26</t>
        </is>
      </c>
      <c r="C568" s="6" t="n"/>
      <c r="D568" s="9" t="inlineStr">
        <is>
          <t>a) Material</t>
        </is>
      </c>
      <c r="E568" s="10" t="inlineStr">
        <is>
          <t>Qty</t>
        </is>
      </c>
      <c r="F568" s="6" t="inlineStr">
        <is>
          <t>Unit</t>
        </is>
      </c>
      <c r="G568" s="11" t="inlineStr">
        <is>
          <t>Qty</t>
        </is>
      </c>
      <c r="H568" s="6" t="inlineStr">
        <is>
          <t>Unit</t>
        </is>
      </c>
      <c r="I568" s="10" t="inlineStr">
        <is>
          <t>Rate per item</t>
        </is>
      </c>
      <c r="J568" s="12" t="inlineStr">
        <is>
          <t>Amount</t>
        </is>
      </c>
    </row>
    <row r="569" ht="38.25" customHeight="1">
      <c r="A569" s="8" t="n"/>
      <c r="B569" s="26" t="inlineStr">
        <is>
          <t>ELEC-5.8.1 a</t>
        </is>
      </c>
      <c r="C569" s="6" t="n">
        <v>1</v>
      </c>
      <c r="D569" s="9" t="inlineStr">
        <is>
          <t xml:space="preserve"> Supply, Transportation and Installation  of-1 HP Single phase open well ISI submersible motor pumpset. Makes: Texmo / CRI / KSB / Aryenvarsha / Lubi / Falcon </t>
        </is>
      </c>
      <c r="E569" s="14" t="n">
        <v>1</v>
      </c>
      <c r="F569" s="14" t="inlineStr">
        <is>
          <t>each</t>
        </is>
      </c>
      <c r="G569" s="14" t="n">
        <v>1</v>
      </c>
      <c r="H569" s="14" t="inlineStr">
        <is>
          <t>each</t>
        </is>
      </c>
      <c r="I569" s="14" t="n">
        <v>17850</v>
      </c>
      <c r="J569" s="12">
        <f>I569*E569</f>
        <v/>
      </c>
    </row>
    <row r="570">
      <c r="A570" s="6" t="n"/>
      <c r="B570" s="6" t="n"/>
      <c r="C570" s="6" t="n"/>
      <c r="D570" s="9" t="inlineStr">
        <is>
          <t>Cost of materials per each</t>
        </is>
      </c>
      <c r="E570" s="10" t="n"/>
      <c r="F570" s="6" t="n"/>
      <c r="G570" s="6" t="n"/>
      <c r="H570" s="6" t="n"/>
      <c r="I570" s="10" t="n"/>
      <c r="J570" s="17">
        <f>J569</f>
        <v/>
      </c>
    </row>
    <row r="571">
      <c r="A571" s="6" t="n"/>
      <c r="B571" s="5" t="n"/>
      <c r="C571" s="6" t="n"/>
      <c r="D571" s="16" t="inlineStr">
        <is>
          <t>Add OH@10.615%</t>
        </is>
      </c>
      <c r="E571" s="17" t="n"/>
      <c r="F571" s="5" t="n"/>
      <c r="G571" s="5" t="n"/>
      <c r="H571" s="5" t="n"/>
      <c r="I571" s="17" t="n"/>
      <c r="J571" s="17">
        <f>10.615%*J570</f>
        <v/>
      </c>
    </row>
    <row r="572">
      <c r="A572" s="6" t="n"/>
      <c r="B572" s="5" t="n"/>
      <c r="C572" s="6" t="n"/>
      <c r="D572" s="16" t="inlineStr">
        <is>
          <t>Total</t>
        </is>
      </c>
      <c r="E572" s="17" t="n"/>
      <c r="F572" s="5" t="n"/>
      <c r="G572" s="5" t="n"/>
      <c r="H572" s="5" t="n"/>
      <c r="I572" s="17" t="n"/>
      <c r="J572" s="17">
        <f>J570+J571</f>
        <v/>
      </c>
    </row>
    <row r="573">
      <c r="A573" s="19" t="n"/>
      <c r="B573" s="20" t="n"/>
      <c r="C573" s="19" t="n"/>
      <c r="D573" s="19" t="n"/>
      <c r="E573" s="19" t="n"/>
      <c r="F573" s="19" t="n"/>
      <c r="G573" s="19" t="n"/>
      <c r="H573" s="19" t="n"/>
      <c r="I573" s="19" t="inlineStr">
        <is>
          <t>Or Say</t>
        </is>
      </c>
      <c r="J573" s="21">
        <f>ROUND(J572,0)</f>
        <v/>
      </c>
    </row>
    <row r="574">
      <c r="A574" s="1" t="n"/>
      <c r="B574" s="1" t="n"/>
      <c r="C574" s="1" t="n"/>
      <c r="D574" s="2" t="inlineStr">
        <is>
          <t xml:space="preserve"> 6/10A 1Way 1 Module Switch (Schneider Zen celo)</t>
        </is>
      </c>
      <c r="E574" s="1" t="n"/>
      <c r="F574" s="1" t="n"/>
      <c r="G574" s="1" t="n"/>
      <c r="H574" s="1" t="n"/>
      <c r="I574" s="1" t="n"/>
      <c r="J574" s="1" t="n"/>
    </row>
    <row r="575">
      <c r="A575" s="3" t="n"/>
      <c r="B575" s="3" t="n"/>
      <c r="C575" s="3" t="n"/>
      <c r="D575" s="4" t="inlineStr">
        <is>
          <t xml:space="preserve">Data </t>
        </is>
      </c>
      <c r="E575" s="3" t="n"/>
      <c r="F575" s="3" t="n"/>
      <c r="G575" s="3" t="n"/>
      <c r="H575" s="3" t="n"/>
      <c r="I575" s="3" t="n"/>
      <c r="J575" s="3" t="n"/>
    </row>
    <row r="576" ht="51" customHeight="1">
      <c r="A576" s="5" t="n"/>
      <c r="B576" s="6" t="n"/>
      <c r="C576" s="5" t="n"/>
      <c r="D576" s="7" t="inlineStr">
        <is>
          <t>Replacement of u/s with new Supply of 6/10A 1Way 1 Module Switch                     Makes :: Makes : Legrand Arteor / Schneider Zen celo    /    Honeywell    Blenge    Plus    / Crabtree Murano / Logus Platina / Gold Medal   GIFA     /   GM-Zenova/   LK Englaze / Million M-Vee</t>
        </is>
      </c>
      <c r="E576" s="7" t="n"/>
      <c r="F576" s="7" t="n"/>
      <c r="G576" s="7" t="n"/>
      <c r="H576" s="7" t="n"/>
      <c r="I576" s="7" t="n"/>
      <c r="J576" s="7" t="n"/>
    </row>
    <row r="577" ht="25.5" customHeight="1">
      <c r="A577" s="8" t="n"/>
      <c r="B577" s="6" t="inlineStr">
        <is>
          <t>SOR 2025-26</t>
        </is>
      </c>
      <c r="C577" s="6" t="n"/>
      <c r="D577" s="9" t="inlineStr">
        <is>
          <t>a) Material</t>
        </is>
      </c>
      <c r="E577" s="10" t="inlineStr">
        <is>
          <t>Qty</t>
        </is>
      </c>
      <c r="F577" s="6" t="inlineStr">
        <is>
          <t>Unit</t>
        </is>
      </c>
      <c r="G577" s="11" t="inlineStr">
        <is>
          <t>Qty</t>
        </is>
      </c>
      <c r="H577" s="6" t="inlineStr">
        <is>
          <t>Unit</t>
        </is>
      </c>
      <c r="I577" s="10" t="inlineStr">
        <is>
          <t>Rate per item</t>
        </is>
      </c>
      <c r="J577" s="12" t="inlineStr">
        <is>
          <t>Amount</t>
        </is>
      </c>
    </row>
    <row r="578" ht="51" customHeight="1">
      <c r="A578" s="8" t="n"/>
      <c r="B578" s="22" t="inlineStr">
        <is>
          <t>ELEC-1.9.1a</t>
        </is>
      </c>
      <c r="C578" s="6" t="n">
        <v>1</v>
      </c>
      <c r="D578" s="9" t="inlineStr">
        <is>
          <t>Supply of 6/10A 1Way 1 Module Switch Supply of 6/10A 1Way 1 Module Switch                     Makes :: Makes : Legrand Arteor / Schneider Zen celo    /    Honeywell    Blenge    Plus    / Crabtree Murano / Logus Platina / Gold Medal   GIFA     /   GM-Zenova/   LK Englaze / Million M-Vee</t>
        </is>
      </c>
      <c r="E578" s="14" t="n">
        <v>1</v>
      </c>
      <c r="F578" s="14" t="inlineStr">
        <is>
          <t>each</t>
        </is>
      </c>
      <c r="G578" s="14" t="n">
        <v>1</v>
      </c>
      <c r="H578" s="14" t="inlineStr">
        <is>
          <t>each</t>
        </is>
      </c>
      <c r="I578" s="14" t="n">
        <v>137</v>
      </c>
      <c r="J578" s="12">
        <f>I578*E578</f>
        <v/>
      </c>
    </row>
    <row r="579">
      <c r="A579" s="6" t="n"/>
      <c r="B579" s="6" t="n"/>
      <c r="C579" s="6" t="n"/>
      <c r="D579" s="9" t="inlineStr">
        <is>
          <t>Cost of materials per each</t>
        </is>
      </c>
      <c r="E579" s="10" t="n"/>
      <c r="F579" s="6" t="n"/>
      <c r="G579" s="6" t="n"/>
      <c r="H579" s="6" t="n"/>
      <c r="I579" s="10" t="n"/>
      <c r="J579" s="10">
        <f>J578</f>
        <v/>
      </c>
    </row>
    <row r="580">
      <c r="A580" s="6" t="n"/>
      <c r="B580" s="5" t="n"/>
      <c r="C580" s="6" t="n"/>
      <c r="D580" s="16" t="inlineStr">
        <is>
          <t>Add OH@10.615%</t>
        </is>
      </c>
      <c r="E580" s="17" t="n"/>
      <c r="F580" s="5" t="n"/>
      <c r="G580" s="5" t="n"/>
      <c r="H580" s="5" t="n"/>
      <c r="I580" s="17" t="n"/>
      <c r="J580" s="17">
        <f>10.615%*J579</f>
        <v/>
      </c>
    </row>
    <row r="581">
      <c r="A581" s="6" t="n"/>
      <c r="B581" s="5" t="n"/>
      <c r="C581" s="6" t="n"/>
      <c r="D581" s="16" t="inlineStr">
        <is>
          <t>Total</t>
        </is>
      </c>
      <c r="E581" s="17" t="n"/>
      <c r="F581" s="5" t="n"/>
      <c r="G581" s="5" t="n"/>
      <c r="H581" s="5" t="n"/>
      <c r="I581" s="17" t="n"/>
      <c r="J581" s="17">
        <f>J579+J580</f>
        <v/>
      </c>
    </row>
    <row r="582">
      <c r="A582" s="19" t="n"/>
      <c r="B582" s="20" t="n"/>
      <c r="C582" s="19" t="n"/>
      <c r="D582" s="19" t="n"/>
      <c r="E582" s="19" t="n"/>
      <c r="F582" s="19" t="n"/>
      <c r="G582" s="19" t="n"/>
      <c r="H582" s="19" t="n"/>
      <c r="I582" s="19" t="inlineStr">
        <is>
          <t>Or Say</t>
        </is>
      </c>
      <c r="J582" s="21">
        <f>ROUND(J581,0)</f>
        <v/>
      </c>
    </row>
    <row r="583">
      <c r="A583" s="1" t="n"/>
      <c r="B583" s="1" t="n"/>
      <c r="C583" s="1" t="n"/>
      <c r="D583" s="2" t="inlineStr">
        <is>
          <t>10A 3  Pin 2 Moduar Socket (Schneider Zen celo)</t>
        </is>
      </c>
      <c r="E583" s="1" t="n"/>
      <c r="F583" s="1" t="n"/>
      <c r="G583" s="1" t="n"/>
      <c r="H583" s="1" t="n"/>
      <c r="I583" s="1" t="n"/>
      <c r="J583" s="1" t="n"/>
    </row>
    <row r="584">
      <c r="A584" s="3" t="n"/>
      <c r="B584" s="3" t="n"/>
      <c r="C584" s="3" t="n"/>
      <c r="D584" s="4" t="inlineStr">
        <is>
          <t xml:space="preserve">Data </t>
        </is>
      </c>
      <c r="E584" s="3" t="n"/>
      <c r="F584" s="3" t="n"/>
      <c r="G584" s="3" t="n"/>
      <c r="H584" s="3" t="n"/>
      <c r="I584" s="3" t="n"/>
      <c r="J584" s="3" t="n"/>
    </row>
    <row r="585" ht="63.75" customHeight="1">
      <c r="A585" s="5" t="n"/>
      <c r="B585" s="23" t="n"/>
      <c r="C585" s="5" t="n"/>
      <c r="D585" s="24" t="inlineStr">
        <is>
          <t>Replacement of u/s with new Supply of 10A 3  Pin 2 Moduar Socket with shutter 1Way 1 Module SwitchSupply of 6/10A 1Way 1 Module Switch                     Makes :: Makes : Legrand Arteor / Schneider Zen celo    /    Honeywell    Blenge    Plus    / Crabtree Murano / Logus Platina / Gold Medal   GIFA     /   GM-Zenova/   LK Englaze / Million M-Vee</t>
        </is>
      </c>
      <c r="E585" s="25" t="n"/>
      <c r="F585" s="25" t="n"/>
      <c r="G585" s="25" t="n"/>
      <c r="H585" s="25" t="n"/>
      <c r="I585" s="25" t="n"/>
      <c r="J585" s="25" t="n"/>
    </row>
    <row r="586" ht="25.5" customHeight="1">
      <c r="A586" s="8" t="n"/>
      <c r="B586" s="6" t="inlineStr">
        <is>
          <t>SOR 2025-26</t>
        </is>
      </c>
      <c r="C586" s="6" t="n"/>
      <c r="D586" s="9" t="inlineStr">
        <is>
          <t>a) Material</t>
        </is>
      </c>
      <c r="E586" s="10" t="inlineStr">
        <is>
          <t>Qty</t>
        </is>
      </c>
      <c r="F586" s="6" t="inlineStr">
        <is>
          <t>Unit</t>
        </is>
      </c>
      <c r="G586" s="11" t="inlineStr">
        <is>
          <t>Qty</t>
        </is>
      </c>
      <c r="H586" s="6" t="inlineStr">
        <is>
          <t>Unit</t>
        </is>
      </c>
      <c r="I586" s="10" t="inlineStr">
        <is>
          <t>Rate per item</t>
        </is>
      </c>
      <c r="J586" s="12" t="inlineStr">
        <is>
          <t>Amount</t>
        </is>
      </c>
    </row>
    <row r="587" ht="51" customHeight="1">
      <c r="A587" s="8" t="n"/>
      <c r="B587" s="26" t="inlineStr">
        <is>
          <t>ELEC-1.9.1d</t>
        </is>
      </c>
      <c r="C587" s="6" t="n">
        <v>1</v>
      </c>
      <c r="D587" s="9" t="inlineStr">
        <is>
          <t>Supply of 10A 3  Pin 2 Moduar Socket with shutter 1Way 1 Module Switch Supply of 6/10A 1Way 1 Module Switch                     Makes :: Makes : Legrand Arteor / Schneider Zen celo    /    Honeywell    Blenge    Plus    / Crabtree Murano / Logus Platina / Gold Medal   GIFA     /   GM-Zenova/   LK Englaze / Million M-Vee</t>
        </is>
      </c>
      <c r="E587" s="14" t="n">
        <v>1</v>
      </c>
      <c r="F587" s="14" t="inlineStr">
        <is>
          <t>each</t>
        </is>
      </c>
      <c r="G587" s="14" t="n">
        <v>1</v>
      </c>
      <c r="H587" s="14" t="inlineStr">
        <is>
          <t>each</t>
        </is>
      </c>
      <c r="I587" s="14" t="n">
        <v>205</v>
      </c>
      <c r="J587" s="12">
        <f>I587*E587</f>
        <v/>
      </c>
    </row>
    <row r="588">
      <c r="A588" s="6" t="n"/>
      <c r="B588" s="6" t="n"/>
      <c r="C588" s="6" t="n"/>
      <c r="D588" s="9" t="inlineStr">
        <is>
          <t>Cost of materials per each</t>
        </is>
      </c>
      <c r="E588" s="10" t="n"/>
      <c r="F588" s="6" t="n"/>
      <c r="G588" s="6" t="n"/>
      <c r="H588" s="6" t="n"/>
      <c r="I588" s="10" t="n"/>
      <c r="J588" s="10">
        <f>J587</f>
        <v/>
      </c>
    </row>
    <row r="589">
      <c r="A589" s="6" t="n"/>
      <c r="B589" s="5" t="n"/>
      <c r="C589" s="6" t="n"/>
      <c r="D589" s="16" t="inlineStr">
        <is>
          <t>Add OH@10.615%</t>
        </is>
      </c>
      <c r="E589" s="17" t="n"/>
      <c r="F589" s="5" t="n"/>
      <c r="G589" s="5" t="n"/>
      <c r="H589" s="5" t="n"/>
      <c r="I589" s="17" t="n"/>
      <c r="J589" s="17">
        <f>10.615%*J588</f>
        <v/>
      </c>
    </row>
    <row r="590">
      <c r="A590" s="6" t="n"/>
      <c r="B590" s="5" t="n"/>
      <c r="C590" s="6" t="n"/>
      <c r="D590" s="16" t="inlineStr">
        <is>
          <t>Total</t>
        </is>
      </c>
      <c r="E590" s="17" t="n"/>
      <c r="F590" s="5" t="n"/>
      <c r="G590" s="5" t="n"/>
      <c r="H590" s="5" t="n"/>
      <c r="I590" s="17" t="n"/>
      <c r="J590" s="17">
        <f>J588+J589</f>
        <v/>
      </c>
    </row>
    <row r="591">
      <c r="A591" s="19" t="n"/>
      <c r="B591" s="20" t="n"/>
      <c r="C591" s="19" t="n"/>
      <c r="D591" s="19" t="n"/>
      <c r="E591" s="19" t="n"/>
      <c r="F591" s="19" t="n"/>
      <c r="G591" s="19" t="n"/>
      <c r="H591" s="19" t="n"/>
      <c r="I591" s="19" t="inlineStr">
        <is>
          <t>Or Say</t>
        </is>
      </c>
      <c r="J591" s="21">
        <f>ROUND(J590,0)</f>
        <v/>
      </c>
    </row>
    <row r="592">
      <c r="A592" s="1" t="n"/>
      <c r="B592" s="1" t="n"/>
      <c r="C592" s="1" t="n"/>
      <c r="D592" s="2" t="inlineStr">
        <is>
          <t>10A Modular Bell Push (Schneider Zen celo)</t>
        </is>
      </c>
      <c r="E592" s="1" t="n"/>
      <c r="F592" s="1" t="n"/>
      <c r="G592" s="1" t="n"/>
      <c r="H592" s="1" t="n"/>
      <c r="I592" s="1" t="n"/>
      <c r="J592" s="1" t="n"/>
    </row>
    <row r="593">
      <c r="A593" s="3" t="n"/>
      <c r="B593" s="3" t="n"/>
      <c r="C593" s="3" t="n"/>
      <c r="D593" s="4" t="inlineStr">
        <is>
          <t xml:space="preserve">Data </t>
        </is>
      </c>
      <c r="E593" s="3" t="n"/>
      <c r="F593" s="3" t="n"/>
      <c r="G593" s="3" t="n"/>
      <c r="H593" s="3" t="n"/>
      <c r="I593" s="3" t="n"/>
      <c r="J593" s="3" t="n"/>
    </row>
    <row r="594" ht="63.75" customHeight="1">
      <c r="A594" s="5" t="n"/>
      <c r="B594" s="6" t="n"/>
      <c r="C594" s="5" t="n"/>
      <c r="D594" s="7" t="inlineStr">
        <is>
          <t>Replacement of u/s with new Supply of 10A Modular Bell Push with Neon Indicator- Supply of 6/10A 1Way 1 Module Switch                                                                            Makes : Legrand Arteor / Schneider Zen celo    /    Honeywell    Blenge    Plus    / Crabtree Murano / Logus Platina / Gold Medal   GIFA     /   GM-Zenova/   LK Englaze / Million M-Vee</t>
        </is>
      </c>
      <c r="E594" s="7" t="n"/>
      <c r="F594" s="7" t="n"/>
      <c r="G594" s="7" t="n"/>
      <c r="H594" s="7" t="n"/>
      <c r="I594" s="7" t="n"/>
      <c r="J594" s="7" t="n"/>
    </row>
    <row r="595" ht="25.5" customHeight="1">
      <c r="A595" s="8" t="n"/>
      <c r="B595" s="6" t="inlineStr">
        <is>
          <t>SOR 2025-26</t>
        </is>
      </c>
      <c r="C595" s="6" t="n"/>
      <c r="D595" s="9" t="inlineStr">
        <is>
          <t>a) Material</t>
        </is>
      </c>
      <c r="E595" s="10" t="inlineStr">
        <is>
          <t>Qty</t>
        </is>
      </c>
      <c r="F595" s="6" t="inlineStr">
        <is>
          <t>Unit</t>
        </is>
      </c>
      <c r="G595" s="11" t="inlineStr">
        <is>
          <t>Qty</t>
        </is>
      </c>
      <c r="H595" s="6" t="inlineStr">
        <is>
          <t>Unit</t>
        </is>
      </c>
      <c r="I595" s="10" t="inlineStr">
        <is>
          <t>Rate per item</t>
        </is>
      </c>
      <c r="J595" s="12" t="inlineStr">
        <is>
          <t>Amount</t>
        </is>
      </c>
    </row>
    <row r="596" ht="51" customHeight="1">
      <c r="A596" s="8" t="n"/>
      <c r="B596" s="26" t="inlineStr">
        <is>
          <t>ELEC-1.9.1(f)</t>
        </is>
      </c>
      <c r="C596" s="6" t="n">
        <v>1</v>
      </c>
      <c r="D596" s="9" t="inlineStr">
        <is>
          <t>Supply of 10A Modular Bell Push with Neon Indicator-                                                      Makes : Legrand Arteor / Schneider Zen celo    /    Honeywell    Blenge    Plus    / Crabtree Murano / Logus Platina / Gold Medal   GIFA     /   GM-Zenova/   LK Englaze / Million M-Vee</t>
        </is>
      </c>
      <c r="E596" s="14" t="n">
        <v>1</v>
      </c>
      <c r="F596" s="14" t="inlineStr">
        <is>
          <t>each</t>
        </is>
      </c>
      <c r="G596" s="14" t="n">
        <v>1</v>
      </c>
      <c r="H596" s="14" t="inlineStr">
        <is>
          <t>each</t>
        </is>
      </c>
      <c r="I596" s="14" t="n">
        <v>200</v>
      </c>
      <c r="J596" s="12">
        <f>I596*E596</f>
        <v/>
      </c>
    </row>
    <row r="597">
      <c r="A597" s="6" t="n"/>
      <c r="B597" s="6" t="n"/>
      <c r="C597" s="6" t="n"/>
      <c r="D597" s="9" t="inlineStr">
        <is>
          <t>Cost of materials per each</t>
        </is>
      </c>
      <c r="E597" s="10" t="n"/>
      <c r="F597" s="6" t="n"/>
      <c r="G597" s="6" t="n"/>
      <c r="H597" s="6" t="n"/>
      <c r="I597" s="10" t="n"/>
      <c r="J597" s="10">
        <f>J596</f>
        <v/>
      </c>
    </row>
    <row r="598">
      <c r="A598" s="6" t="n"/>
      <c r="B598" s="5" t="n"/>
      <c r="C598" s="6" t="n"/>
      <c r="D598" s="16" t="inlineStr">
        <is>
          <t>Add OH@10.615%</t>
        </is>
      </c>
      <c r="E598" s="17" t="n"/>
      <c r="F598" s="5" t="n"/>
      <c r="G598" s="5" t="n"/>
      <c r="H598" s="5" t="n"/>
      <c r="I598" s="17" t="n"/>
      <c r="J598" s="17">
        <f>10.615%*J597</f>
        <v/>
      </c>
    </row>
    <row r="599">
      <c r="A599" s="6" t="n"/>
      <c r="B599" s="5" t="n"/>
      <c r="C599" s="6" t="n"/>
      <c r="D599" s="16" t="inlineStr">
        <is>
          <t>Total</t>
        </is>
      </c>
      <c r="E599" s="17" t="n"/>
      <c r="F599" s="5" t="n"/>
      <c r="G599" s="5" t="n"/>
      <c r="H599" s="5" t="n"/>
      <c r="I599" s="17" t="n"/>
      <c r="J599" s="17">
        <f>J597+J598</f>
        <v/>
      </c>
    </row>
    <row r="600">
      <c r="A600" s="19" t="n"/>
      <c r="B600" s="20" t="n"/>
      <c r="C600" s="19" t="n"/>
      <c r="D600" s="19" t="n"/>
      <c r="E600" s="19" t="n"/>
      <c r="F600" s="19" t="n"/>
      <c r="G600" s="19" t="n"/>
      <c r="H600" s="19" t="n"/>
      <c r="I600" s="19" t="inlineStr">
        <is>
          <t>Or Say</t>
        </is>
      </c>
      <c r="J600" s="21">
        <f>ROUND(J599,0)</f>
        <v/>
      </c>
    </row>
    <row r="601">
      <c r="A601" s="1" t="n"/>
      <c r="B601" s="1" t="n"/>
      <c r="C601" s="1" t="n"/>
      <c r="D601" s="2" t="inlineStr">
        <is>
          <t>20A 1 Way 1 Module Modular Switch (Schneider Zen celo)</t>
        </is>
      </c>
      <c r="E601" s="1" t="n"/>
      <c r="F601" s="1" t="n"/>
      <c r="G601" s="1" t="n"/>
      <c r="H601" s="1" t="n"/>
      <c r="I601" s="1" t="n"/>
      <c r="J601" s="1" t="n"/>
    </row>
    <row r="602">
      <c r="A602" s="3" t="n"/>
      <c r="B602" s="3" t="n"/>
      <c r="C602" s="3" t="n"/>
      <c r="D602" s="4" t="inlineStr">
        <is>
          <t xml:space="preserve">Data </t>
        </is>
      </c>
      <c r="E602" s="3" t="n"/>
      <c r="F602" s="3" t="n"/>
      <c r="G602" s="3" t="n"/>
      <c r="H602" s="3" t="n"/>
      <c r="I602" s="3" t="n"/>
      <c r="J602" s="3" t="n"/>
    </row>
    <row r="603" ht="63.75" customHeight="1">
      <c r="A603" s="5" t="n"/>
      <c r="B603" s="6" t="n"/>
      <c r="C603" s="5" t="n"/>
      <c r="D603" s="7" t="inlineStr">
        <is>
          <t>Replacement of u/s with new Supply of 20A 1 Way 1 Module Modular Switch with Indicator                                                                                                                                              Makes : Legrand Arteor / Schneider Zen celo    /    Honeywell    Blenge    Plus    / Crabtree Murano / Logus Platina / Gold Medal   GIFA     /   GM-Zenova/   LK Englaze / Million M-Vee</t>
        </is>
      </c>
      <c r="E603" s="7" t="n"/>
      <c r="F603" s="7" t="n"/>
      <c r="G603" s="7" t="n"/>
      <c r="H603" s="7" t="n"/>
      <c r="I603" s="7" t="n"/>
      <c r="J603" s="7" t="n"/>
    </row>
    <row r="604" ht="25.5" customHeight="1">
      <c r="A604" s="8" t="n"/>
      <c r="B604" s="6" t="inlineStr">
        <is>
          <t>SOR 2025-26</t>
        </is>
      </c>
      <c r="C604" s="6" t="n"/>
      <c r="D604" s="9" t="inlineStr">
        <is>
          <t>a) Material</t>
        </is>
      </c>
      <c r="E604" s="10" t="inlineStr">
        <is>
          <t>Qty</t>
        </is>
      </c>
      <c r="F604" s="6" t="inlineStr">
        <is>
          <t>Unit</t>
        </is>
      </c>
      <c r="G604" s="11" t="inlineStr">
        <is>
          <t>Qty</t>
        </is>
      </c>
      <c r="H604" s="6" t="inlineStr">
        <is>
          <t>Unit</t>
        </is>
      </c>
      <c r="I604" s="10" t="inlineStr">
        <is>
          <t>Rate per item</t>
        </is>
      </c>
      <c r="J604" s="12" t="inlineStr">
        <is>
          <t>Amount</t>
        </is>
      </c>
    </row>
    <row r="605" ht="51" customHeight="1">
      <c r="A605" s="8" t="n"/>
      <c r="B605" s="26" t="inlineStr">
        <is>
          <t>ELEC-1.9.1j</t>
        </is>
      </c>
      <c r="C605" s="6" t="n">
        <v>1</v>
      </c>
      <c r="D605" s="9" t="inlineStr">
        <is>
          <t xml:space="preserve"> Supply of 20A 1 Way 1 Module Modular Switch with Indicator                                     Makes : Legrand Arteor / Schneider Zen celo    /    Honeywell    Blenge    Plus    / Crabtree Murano / Logus Platina / Gold Medal   GIFA     /   GM-Zenova/   LK Englaze / Million M-Vee</t>
        </is>
      </c>
      <c r="E605" s="14" t="n">
        <v>1</v>
      </c>
      <c r="F605" s="14" t="inlineStr">
        <is>
          <t>each</t>
        </is>
      </c>
      <c r="G605" s="14" t="n">
        <v>1</v>
      </c>
      <c r="H605" s="14" t="inlineStr">
        <is>
          <t>each</t>
        </is>
      </c>
      <c r="I605" s="14" t="n">
        <v>200</v>
      </c>
      <c r="J605" s="12">
        <f>I605*E605</f>
        <v/>
      </c>
    </row>
    <row r="606">
      <c r="A606" s="6" t="n"/>
      <c r="B606" s="6" t="n"/>
      <c r="C606" s="6" t="n"/>
      <c r="D606" s="9" t="inlineStr">
        <is>
          <t>Cost of materials per each</t>
        </is>
      </c>
      <c r="E606" s="10" t="n"/>
      <c r="F606" s="6" t="n"/>
      <c r="G606" s="6" t="n"/>
      <c r="H606" s="6" t="n"/>
      <c r="I606" s="10" t="n"/>
      <c r="J606" s="10">
        <f>J605</f>
        <v/>
      </c>
    </row>
    <row r="607">
      <c r="A607" s="6" t="n"/>
      <c r="B607" s="5" t="n"/>
      <c r="C607" s="6" t="n"/>
      <c r="D607" s="16" t="inlineStr">
        <is>
          <t>Add OH@10.615%</t>
        </is>
      </c>
      <c r="E607" s="17" t="n"/>
      <c r="F607" s="5" t="n"/>
      <c r="G607" s="5" t="n"/>
      <c r="H607" s="5" t="n"/>
      <c r="I607" s="17" t="n"/>
      <c r="J607" s="17">
        <f>10.615%*J606</f>
        <v/>
      </c>
    </row>
    <row r="608">
      <c r="A608" s="6" t="n"/>
      <c r="B608" s="5" t="n"/>
      <c r="C608" s="6" t="n"/>
      <c r="D608" s="16" t="inlineStr">
        <is>
          <t>Total</t>
        </is>
      </c>
      <c r="E608" s="17" t="n"/>
      <c r="F608" s="5" t="n"/>
      <c r="G608" s="5" t="n"/>
      <c r="H608" s="5" t="n"/>
      <c r="I608" s="17" t="n"/>
      <c r="J608" s="17">
        <f>J606+J607</f>
        <v/>
      </c>
    </row>
    <row r="609">
      <c r="A609" s="19" t="n"/>
      <c r="B609" s="20" t="n"/>
      <c r="C609" s="19" t="n"/>
      <c r="D609" s="19" t="n"/>
      <c r="E609" s="19" t="n"/>
      <c r="F609" s="19" t="n"/>
      <c r="G609" s="19" t="n"/>
      <c r="H609" s="19" t="n"/>
      <c r="I609" s="19" t="inlineStr">
        <is>
          <t>Or Say</t>
        </is>
      </c>
      <c r="J609" s="21">
        <f>ROUND(J608,0)</f>
        <v/>
      </c>
    </row>
    <row r="610">
      <c r="A610" s="1" t="n"/>
      <c r="B610" s="1" t="n"/>
      <c r="C610" s="1" t="n"/>
      <c r="D610" s="2" t="inlineStr">
        <is>
          <t>20A 2 Module Modular Socket (Schneider Zen celo)</t>
        </is>
      </c>
      <c r="E610" s="1" t="n"/>
      <c r="F610" s="1" t="n"/>
      <c r="G610" s="1" t="n"/>
      <c r="H610" s="1" t="n"/>
      <c r="I610" s="1" t="n"/>
      <c r="J610" s="1" t="n"/>
    </row>
    <row r="611">
      <c r="A611" s="3" t="n"/>
      <c r="B611" s="3" t="n"/>
      <c r="C611" s="3" t="n"/>
      <c r="D611" s="4" t="inlineStr">
        <is>
          <t xml:space="preserve">Data </t>
        </is>
      </c>
      <c r="E611" s="3" t="n"/>
      <c r="F611" s="3" t="n"/>
      <c r="G611" s="3" t="n"/>
      <c r="H611" s="3" t="n"/>
      <c r="I611" s="3" t="n"/>
      <c r="J611" s="3" t="n"/>
    </row>
    <row r="612" ht="51" customHeight="1">
      <c r="A612" s="5" t="n"/>
      <c r="B612" s="6" t="n"/>
      <c r="C612" s="5" t="n"/>
      <c r="D612" s="7" t="inlineStr">
        <is>
          <t>Replacement of u/s with new Supply of 20A 2 Module Modular Socket with shutter.         Makes : Legrand Arteor / Schneider Zen celo    /    Honeywell    Blenge    Plus    / Crabtree Murano / Logus Platina / Gold Medal   GIFA     /   GM-Zenova/   LK Englaze / Million M-Vee</t>
        </is>
      </c>
      <c r="E612" s="7" t="n"/>
      <c r="F612" s="7" t="n"/>
      <c r="G612" s="7" t="n"/>
      <c r="H612" s="7" t="n"/>
      <c r="I612" s="7" t="n"/>
      <c r="J612" s="7" t="n"/>
    </row>
    <row r="613" ht="25.5" customHeight="1">
      <c r="A613" s="8" t="n"/>
      <c r="B613" s="6" t="inlineStr">
        <is>
          <t>SOR 2025-26</t>
        </is>
      </c>
      <c r="C613" s="6" t="n"/>
      <c r="D613" s="9" t="inlineStr">
        <is>
          <t>a) Material</t>
        </is>
      </c>
      <c r="E613" s="10" t="inlineStr">
        <is>
          <t>Qty</t>
        </is>
      </c>
      <c r="F613" s="6" t="inlineStr">
        <is>
          <t>Unit</t>
        </is>
      </c>
      <c r="G613" s="11" t="inlineStr">
        <is>
          <t>Qty</t>
        </is>
      </c>
      <c r="H613" s="6" t="inlineStr">
        <is>
          <t>Unit</t>
        </is>
      </c>
      <c r="I613" s="10" t="inlineStr">
        <is>
          <t>Rate per item</t>
        </is>
      </c>
      <c r="J613" s="12" t="inlineStr">
        <is>
          <t>Amount</t>
        </is>
      </c>
    </row>
    <row r="614" ht="51" customHeight="1">
      <c r="A614" s="8" t="n"/>
      <c r="B614" s="26" t="inlineStr">
        <is>
          <t>ELEC-1.9.1 k</t>
        </is>
      </c>
      <c r="C614" s="6" t="n">
        <v>1</v>
      </c>
      <c r="D614" s="9" t="inlineStr">
        <is>
          <t>Supply of 20A 2 Module Modular Socket with shutter.                                                  Makes : Legrand Arteor / Schneider Zen celo    /    Honeywell    Blenge    Plus    / Crabtree Murano / Logus Platina / Gold Medal   GIFA     /   GM-Zenova/   LK Englaze / Million M-Vee</t>
        </is>
      </c>
      <c r="E614" s="14" t="n">
        <v>1</v>
      </c>
      <c r="F614" s="14" t="inlineStr">
        <is>
          <t>each</t>
        </is>
      </c>
      <c r="G614" s="14" t="n">
        <v>1</v>
      </c>
      <c r="H614" s="14" t="inlineStr">
        <is>
          <t>each</t>
        </is>
      </c>
      <c r="I614" s="14" t="n">
        <v>273</v>
      </c>
      <c r="J614" s="12">
        <f>I614*E614</f>
        <v/>
      </c>
    </row>
    <row r="615">
      <c r="A615" s="6" t="n"/>
      <c r="B615" s="6" t="n"/>
      <c r="C615" s="6" t="n"/>
      <c r="D615" s="9" t="inlineStr">
        <is>
          <t>Cost of materials per each</t>
        </is>
      </c>
      <c r="E615" s="10" t="n"/>
      <c r="F615" s="6" t="n"/>
      <c r="G615" s="6" t="n"/>
      <c r="H615" s="6" t="n"/>
      <c r="I615" s="10" t="n"/>
      <c r="J615" s="10">
        <f>J614</f>
        <v/>
      </c>
    </row>
    <row r="616">
      <c r="A616" s="6" t="n"/>
      <c r="B616" s="5" t="n"/>
      <c r="C616" s="6" t="n"/>
      <c r="D616" s="16" t="inlineStr">
        <is>
          <t>Add OH@10.615%</t>
        </is>
      </c>
      <c r="E616" s="17" t="n"/>
      <c r="F616" s="5" t="n"/>
      <c r="G616" s="5" t="n"/>
      <c r="H616" s="5" t="n"/>
      <c r="I616" s="17" t="n"/>
      <c r="J616" s="17">
        <f>10.615%*J615</f>
        <v/>
      </c>
    </row>
    <row r="617">
      <c r="A617" s="6" t="n"/>
      <c r="B617" s="5" t="n"/>
      <c r="C617" s="6" t="n"/>
      <c r="D617" s="16" t="inlineStr">
        <is>
          <t>Total</t>
        </is>
      </c>
      <c r="E617" s="17" t="n"/>
      <c r="F617" s="5" t="n"/>
      <c r="G617" s="5" t="n"/>
      <c r="H617" s="5" t="n"/>
      <c r="I617" s="17" t="n"/>
      <c r="J617" s="17">
        <f>J615+J616</f>
        <v/>
      </c>
    </row>
    <row r="618">
      <c r="A618" s="19" t="n"/>
      <c r="B618" s="20" t="n"/>
      <c r="C618" s="19" t="n"/>
      <c r="D618" s="19" t="n"/>
      <c r="E618" s="19" t="n"/>
      <c r="F618" s="19" t="n"/>
      <c r="G618" s="19" t="n"/>
      <c r="H618" s="19" t="n"/>
      <c r="I618" s="19" t="inlineStr">
        <is>
          <t>Or Say</t>
        </is>
      </c>
      <c r="J618" s="21">
        <f>ROUND(J617,0)</f>
        <v/>
      </c>
    </row>
  </sheetData>
  <pageMargins left="0.75" right="0.75" top="1" bottom="1" header="0.5" footer="0.5"/>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C69"/>
  <sheetViews>
    <sheetView workbookViewId="0">
      <selection activeCell="B20" sqref="B20"/>
    </sheetView>
  </sheetViews>
  <sheetFormatPr baseColWidth="8" defaultRowHeight="15"/>
  <cols>
    <col width="52.85546875" bestFit="1" customWidth="1" min="1" max="1"/>
    <col width="32.28515625" bestFit="1" customWidth="1" min="2" max="2"/>
    <col width="31.42578125" bestFit="1" customWidth="1" min="3" max="3"/>
  </cols>
  <sheetData>
    <row r="1" customFormat="1" s="28">
      <c r="A1" s="29" t="inlineStr">
        <is>
          <t>Item Name</t>
        </is>
      </c>
      <c r="B1" s="29" t="inlineStr">
        <is>
          <t>Group</t>
        </is>
      </c>
      <c r="C1" s="29" t="inlineStr">
        <is>
          <t>Prefix</t>
        </is>
      </c>
    </row>
    <row r="2">
      <c r="A2" s="31" t="inlineStr">
        <is>
          <t>1 HP Single phase Monoblock motor pumpset</t>
        </is>
      </c>
      <c r="B2" s="31" t="inlineStr">
        <is>
          <t>Motor Pumpsets</t>
        </is>
      </c>
      <c r="C2" s="31" t="inlineStr">
        <is>
          <t xml:space="preserve">Replacement of old u/s with new </t>
        </is>
      </c>
    </row>
    <row r="3">
      <c r="A3" s="31" t="inlineStr">
        <is>
          <t>1 HP Single phase openwell submersible motor pumpset</t>
        </is>
      </c>
      <c r="B3" s="31" t="inlineStr">
        <is>
          <t>Motor Pumpsets</t>
        </is>
      </c>
      <c r="C3" s="31" t="inlineStr">
        <is>
          <t xml:space="preserve">Replacement of old u/s with new </t>
        </is>
      </c>
    </row>
    <row r="4">
      <c r="A4" s="31" t="inlineStr">
        <is>
          <t>1.5 sq.mm FRLSH copper cable</t>
        </is>
      </c>
      <c r="B4" s="31" t="inlineStr">
        <is>
          <t>Flexible Cables</t>
        </is>
      </c>
      <c r="C4" s="31" t="inlineStr">
        <is>
          <t>Rewiring with new</t>
        </is>
      </c>
    </row>
    <row r="5">
      <c r="A5" s="31" t="inlineStr">
        <is>
          <t>1.5 Sqmm  3 PVC / XLPE Core Cable</t>
        </is>
      </c>
      <c r="B5" s="31" t="inlineStr">
        <is>
          <t>Flat Cables</t>
        </is>
      </c>
      <c r="C5" s="31" t="inlineStr">
        <is>
          <t>Rewiring with new</t>
        </is>
      </c>
    </row>
    <row r="6">
      <c r="A6" s="31" t="inlineStr">
        <is>
          <t>100A FP Isolator</t>
        </is>
      </c>
      <c r="B6" s="31" t="inlineStr">
        <is>
          <t>DBs &amp; their components</t>
        </is>
      </c>
      <c r="C6" s="31" t="inlineStr">
        <is>
          <t xml:space="preserve">Replacement of old u/s with new </t>
        </is>
      </c>
    </row>
    <row r="7">
      <c r="A7" s="31" t="inlineStr">
        <is>
          <t>10A 3  Pin 2 Moduar Socket</t>
        </is>
      </c>
      <c r="B7" s="31" t="inlineStr">
        <is>
          <t>Switch Boards &amp; their components</t>
        </is>
      </c>
      <c r="C7" s="31" t="inlineStr">
        <is>
          <t xml:space="preserve">Replacement of old u/s with new </t>
        </is>
      </c>
    </row>
    <row r="8">
      <c r="A8" s="31" t="inlineStr">
        <is>
          <t>10A 3  Pin 2 Moduar Socket (Schneider Zen celo)</t>
        </is>
      </c>
      <c r="B8" s="31" t="inlineStr">
        <is>
          <t>Switch Boards &amp; their components</t>
        </is>
      </c>
      <c r="C8" s="31" t="inlineStr">
        <is>
          <t xml:space="preserve">Replacement of old u/s with new </t>
        </is>
      </c>
    </row>
    <row r="9">
      <c r="A9" s="31" t="inlineStr">
        <is>
          <t>10A Modular Bell Push</t>
        </is>
      </c>
      <c r="B9" s="31" t="inlineStr">
        <is>
          <t>Switch Boards &amp; their components</t>
        </is>
      </c>
      <c r="C9" s="31" t="inlineStr">
        <is>
          <t xml:space="preserve">Replacement of old u/s with new </t>
        </is>
      </c>
    </row>
    <row r="10">
      <c r="A10" s="31" t="inlineStr">
        <is>
          <t>10A Modular Bell Push (Schneider Zen celo)</t>
        </is>
      </c>
      <c r="B10" s="31" t="inlineStr">
        <is>
          <t>Switch Boards &amp; their components</t>
        </is>
      </c>
      <c r="C10" s="31" t="inlineStr">
        <is>
          <t xml:space="preserve">Replacement of old u/s with new </t>
        </is>
      </c>
    </row>
    <row r="11">
      <c r="A11" s="31" t="inlineStr">
        <is>
          <t>12 Surface Mounted PVC Modular Gang Box</t>
        </is>
      </c>
      <c r="B11" s="31" t="inlineStr">
        <is>
          <t>Switch Boards &amp; their components</t>
        </is>
      </c>
      <c r="C11" s="31" t="inlineStr">
        <is>
          <t xml:space="preserve">Replacement of old u/s with new </t>
        </is>
      </c>
    </row>
    <row r="12">
      <c r="A12" s="31" t="inlineStr">
        <is>
          <t>12" Light duty exhaust fan</t>
        </is>
      </c>
      <c r="B12" s="31" t="inlineStr">
        <is>
          <t>Fans &amp; their Accessories</t>
        </is>
      </c>
      <c r="C12" s="31" t="inlineStr">
        <is>
          <t xml:space="preserve">Replacement of old u/s with new </t>
        </is>
      </c>
    </row>
    <row r="13">
      <c r="A13" s="31" t="inlineStr">
        <is>
          <t>12.0W LED Bulb</t>
        </is>
      </c>
      <c r="B13" s="31" t="inlineStr">
        <is>
          <t>Lighting Fixtures</t>
        </is>
      </c>
      <c r="C13" s="31" t="inlineStr">
        <is>
          <t xml:space="preserve">Replacement of old u/s with new </t>
        </is>
      </c>
    </row>
    <row r="14">
      <c r="A14" s="31" t="inlineStr">
        <is>
          <t>125A 3 Pole MCCB</t>
        </is>
      </c>
      <c r="B14" s="31" t="inlineStr">
        <is>
          <t>DBs &amp; their components</t>
        </is>
      </c>
      <c r="C14" s="31" t="inlineStr">
        <is>
          <t xml:space="preserve">Replacement of old u/s with new </t>
        </is>
      </c>
    </row>
    <row r="15">
      <c r="A15" s="31" t="inlineStr">
        <is>
          <t>12Modular Cover Frame</t>
        </is>
      </c>
      <c r="B15" s="31" t="inlineStr">
        <is>
          <t>Switch Boards &amp; their components</t>
        </is>
      </c>
      <c r="C15" s="31" t="inlineStr">
        <is>
          <t xml:space="preserve">Replacement of old u/s with new </t>
        </is>
      </c>
    </row>
    <row r="16">
      <c r="A16" s="31" t="inlineStr">
        <is>
          <t>15W LED slimline panel  light</t>
        </is>
      </c>
      <c r="B16" s="31" t="inlineStr">
        <is>
          <t>Lighting Fixtures</t>
        </is>
      </c>
      <c r="C16" s="31" t="inlineStr">
        <is>
          <t xml:space="preserve">Replacement of old u/s with new </t>
        </is>
      </c>
    </row>
    <row r="17">
      <c r="A17" s="31" t="inlineStr">
        <is>
          <t>16A flush type Socket</t>
        </is>
      </c>
      <c r="B17" s="31" t="inlineStr">
        <is>
          <t>Switch Boards &amp; their components</t>
        </is>
      </c>
      <c r="C17" s="31" t="inlineStr">
        <is>
          <t xml:space="preserve">Replacement of old u/s with new </t>
        </is>
      </c>
    </row>
    <row r="18">
      <c r="A18" s="31" t="inlineStr">
        <is>
          <t>16A flush type Swich</t>
        </is>
      </c>
      <c r="B18" s="31" t="inlineStr">
        <is>
          <t>Switch Boards &amp; their components</t>
        </is>
      </c>
      <c r="C18" s="31" t="inlineStr">
        <is>
          <t xml:space="preserve">Replacement of old u/s with new </t>
        </is>
      </c>
    </row>
    <row r="19">
      <c r="A19" s="31" t="inlineStr">
        <is>
          <t>19/20mm Casing &amp; Capping</t>
        </is>
      </c>
      <c r="B19" s="31" t="inlineStr">
        <is>
          <t xml:space="preserve">Conduiting </t>
        </is>
      </c>
      <c r="C19" s="31" t="inlineStr">
        <is>
          <t>Re-laying with new</t>
        </is>
      </c>
    </row>
    <row r="20">
      <c r="A20" s="31" t="inlineStr">
        <is>
          <t>2.5 sq.mm FRLSH copper cable</t>
        </is>
      </c>
      <c r="B20" s="31" t="inlineStr">
        <is>
          <t>Flexible Cables</t>
        </is>
      </c>
      <c r="C20" s="31" t="inlineStr">
        <is>
          <t>Rewiring with new</t>
        </is>
      </c>
    </row>
    <row r="21">
      <c r="A21" s="31" t="inlineStr">
        <is>
          <t>2.5 Sqmm  3 Core PVC / XLPE Cable</t>
        </is>
      </c>
      <c r="B21" s="31" t="inlineStr">
        <is>
          <t>Flat Cables</t>
        </is>
      </c>
      <c r="C21" s="31" t="inlineStr">
        <is>
          <t>Rewiring with new</t>
        </is>
      </c>
    </row>
    <row r="22">
      <c r="A22" s="31" t="inlineStr">
        <is>
          <t>20A 1 Way 1 Module Modular Switch</t>
        </is>
      </c>
      <c r="B22" s="31" t="inlineStr">
        <is>
          <t>Switch Boards &amp; their components</t>
        </is>
      </c>
      <c r="C22" s="31" t="inlineStr">
        <is>
          <t xml:space="preserve">Replacement of old u/s with new </t>
        </is>
      </c>
    </row>
    <row r="23">
      <c r="A23" s="31" t="inlineStr">
        <is>
          <t>20A 1 Way 1 Module Modular Switch (Schneider Zen celo)</t>
        </is>
      </c>
      <c r="B23" s="31" t="inlineStr">
        <is>
          <t>Switch Boards &amp; their components</t>
        </is>
      </c>
      <c r="C23" s="31" t="inlineStr">
        <is>
          <t xml:space="preserve">Replacement of old u/s with new </t>
        </is>
      </c>
    </row>
    <row r="24">
      <c r="A24" s="31" t="inlineStr">
        <is>
          <t>20A 2 Module Modular Socket</t>
        </is>
      </c>
      <c r="B24" s="31" t="inlineStr">
        <is>
          <t>Switch Boards &amp; their components</t>
        </is>
      </c>
      <c r="C24" s="31" t="inlineStr">
        <is>
          <t xml:space="preserve">Replacement of old u/s with new </t>
        </is>
      </c>
    </row>
    <row r="25">
      <c r="A25" s="31" t="inlineStr">
        <is>
          <t>20A 2 Module Modular Socket (Schneider Zen celo)</t>
        </is>
      </c>
      <c r="B25" s="31" t="inlineStr">
        <is>
          <t>Switch Boards &amp; their components</t>
        </is>
      </c>
      <c r="C25" s="31" t="inlineStr">
        <is>
          <t xml:space="preserve">Replacement of old u/s with new </t>
        </is>
      </c>
    </row>
    <row r="26">
      <c r="A26" s="31" t="inlineStr">
        <is>
          <t>20W LED Batten light</t>
        </is>
      </c>
      <c r="B26" s="31" t="inlineStr">
        <is>
          <t>Lighting Fixtures</t>
        </is>
      </c>
      <c r="C26" s="31" t="inlineStr">
        <is>
          <t xml:space="preserve">Replacement of old u/s with new </t>
        </is>
      </c>
    </row>
    <row r="27">
      <c r="A27" s="31" t="inlineStr">
        <is>
          <t>25 Ltrs Geysers</t>
        </is>
      </c>
      <c r="B27" s="31" t="inlineStr">
        <is>
          <t>Water Heaters</t>
        </is>
      </c>
      <c r="C27" s="31" t="inlineStr">
        <is>
          <t xml:space="preserve">Replacement of old u/s with new </t>
        </is>
      </c>
    </row>
    <row r="28">
      <c r="A28" s="31" t="inlineStr">
        <is>
          <t>25mm PVC Pipe</t>
        </is>
      </c>
      <c r="B28" s="31" t="inlineStr">
        <is>
          <t xml:space="preserve">Conduiting </t>
        </is>
      </c>
      <c r="C28" s="31" t="inlineStr">
        <is>
          <t>Re-laying with new</t>
        </is>
      </c>
    </row>
    <row r="29">
      <c r="A29" s="31" t="inlineStr">
        <is>
          <t>25mm x 12 mm Casing &amp; Capping</t>
        </is>
      </c>
      <c r="B29" s="31" t="inlineStr">
        <is>
          <t xml:space="preserve">Conduiting </t>
        </is>
      </c>
      <c r="C29" s="31" t="inlineStr">
        <is>
          <t>Re-laying with new</t>
        </is>
      </c>
    </row>
    <row r="30">
      <c r="A30" s="31" t="inlineStr">
        <is>
          <t>3 Modular Cover Frame</t>
        </is>
      </c>
      <c r="B30" s="31" t="inlineStr">
        <is>
          <t>Switch Boards &amp; their components</t>
        </is>
      </c>
      <c r="C30" s="31" t="inlineStr">
        <is>
          <t xml:space="preserve">Replacement of old u/s with new </t>
        </is>
      </c>
    </row>
    <row r="31">
      <c r="A31" s="31" t="inlineStr">
        <is>
          <t>3 Plate Jumbo Ceiling Rose</t>
        </is>
      </c>
      <c r="B31" s="31" t="inlineStr">
        <is>
          <t>Switch Boards &amp; their components</t>
        </is>
      </c>
      <c r="C31" s="31" t="inlineStr">
        <is>
          <t xml:space="preserve">Replacement of old u/s with new </t>
        </is>
      </c>
    </row>
    <row r="32">
      <c r="A32" s="31" t="inlineStr">
        <is>
          <t>3 Surface Mounted PVC Modular Gang Box</t>
        </is>
      </c>
      <c r="B32" s="31" t="inlineStr">
        <is>
          <t>Switch Boards &amp; their components</t>
        </is>
      </c>
      <c r="C32" s="31" t="inlineStr">
        <is>
          <t xml:space="preserve">Replacement of old u/s with new </t>
        </is>
      </c>
    </row>
    <row r="33">
      <c r="A33" s="31" t="inlineStr">
        <is>
          <t>4  Surface Mounted PVC Modular Gang Box</t>
        </is>
      </c>
      <c r="B33" s="31" t="inlineStr">
        <is>
          <t>Switch Boards &amp; their components</t>
        </is>
      </c>
      <c r="C33" s="31" t="inlineStr">
        <is>
          <t xml:space="preserve">Replacement of old u/s with new </t>
        </is>
      </c>
    </row>
    <row r="34">
      <c r="A34" s="31" t="inlineStr">
        <is>
          <t>4 Modular Cover Frame</t>
        </is>
      </c>
      <c r="B34" s="31" t="inlineStr">
        <is>
          <t>Switch Boards &amp; their components</t>
        </is>
      </c>
      <c r="C34" s="31" t="inlineStr">
        <is>
          <t xml:space="preserve">Replacement of old u/s with new </t>
        </is>
      </c>
    </row>
    <row r="35">
      <c r="A35" s="31" t="inlineStr">
        <is>
          <t>4 Sqmm  3 Core. PVC / XLPE Cable</t>
        </is>
      </c>
      <c r="B35" s="31" t="inlineStr">
        <is>
          <t>Flat Cables</t>
        </is>
      </c>
      <c r="C35" s="31" t="inlineStr">
        <is>
          <t>Rewiring with new</t>
        </is>
      </c>
    </row>
    <row r="36">
      <c r="A36" s="31" t="inlineStr">
        <is>
          <t>4.0 sq.mm FRLSH copper cable</t>
        </is>
      </c>
      <c r="B36" s="31" t="inlineStr">
        <is>
          <t>Flexible Cables</t>
        </is>
      </c>
      <c r="C36" s="31" t="inlineStr">
        <is>
          <t>Rewiring with new</t>
        </is>
      </c>
    </row>
    <row r="37">
      <c r="A37" s="31" t="inlineStr">
        <is>
          <t>40A DP Isolator</t>
        </is>
      </c>
      <c r="B37" s="31" t="inlineStr">
        <is>
          <t>DBs &amp; their components</t>
        </is>
      </c>
      <c r="C37" s="31" t="inlineStr">
        <is>
          <t xml:space="preserve">Replacement of old u/s with new </t>
        </is>
      </c>
    </row>
    <row r="38">
      <c r="A38" s="31" t="inlineStr">
        <is>
          <t>40A TP MCB</t>
        </is>
      </c>
      <c r="B38" s="31" t="inlineStr">
        <is>
          <t>DBs &amp; their components</t>
        </is>
      </c>
      <c r="C38" s="31" t="inlineStr">
        <is>
          <t xml:space="preserve">Replacement of old u/s with new </t>
        </is>
      </c>
    </row>
    <row r="39">
      <c r="A39" s="31" t="inlineStr">
        <is>
          <t>48" BLDC Ceiling Fan</t>
        </is>
      </c>
      <c r="B39" s="31" t="inlineStr">
        <is>
          <t>Fans &amp; their Accessories</t>
        </is>
      </c>
      <c r="C39" s="31" t="inlineStr">
        <is>
          <t xml:space="preserve">Replacement of old u/s with new </t>
        </is>
      </c>
    </row>
    <row r="40">
      <c r="A40" s="31" t="inlineStr">
        <is>
          <t>48" Decorative Ceiling Fan</t>
        </is>
      </c>
      <c r="B40" s="31" t="inlineStr">
        <is>
          <t>Fans &amp; their Accessories</t>
        </is>
      </c>
      <c r="C40" s="31" t="inlineStr">
        <is>
          <t xml:space="preserve">Replacement of old u/s with new </t>
        </is>
      </c>
    </row>
    <row r="41">
      <c r="A41" s="31" t="inlineStr">
        <is>
          <t>6 Modular Cover Frame</t>
        </is>
      </c>
      <c r="B41" s="31" t="inlineStr">
        <is>
          <t>Switch Boards &amp; their components</t>
        </is>
      </c>
      <c r="C41" s="31" t="inlineStr">
        <is>
          <t xml:space="preserve">Replacement of old u/s with new </t>
        </is>
      </c>
    </row>
    <row r="42">
      <c r="A42" s="31" t="inlineStr">
        <is>
          <t>6 Surface Mounted PVC Modular Gang Box</t>
        </is>
      </c>
      <c r="B42" s="31" t="inlineStr">
        <is>
          <t>Switch Boards &amp; their components</t>
        </is>
      </c>
      <c r="C42" s="31" t="inlineStr">
        <is>
          <t xml:space="preserve">Replacement of old u/s with new </t>
        </is>
      </c>
    </row>
    <row r="43">
      <c r="A43" s="31" t="inlineStr">
        <is>
          <t>6.0 sq.mm FRLSH copper cable</t>
        </is>
      </c>
      <c r="B43" s="31" t="inlineStr">
        <is>
          <t>Flexible Cables</t>
        </is>
      </c>
      <c r="C43" s="31" t="inlineStr">
        <is>
          <t>Rewiring with new</t>
        </is>
      </c>
    </row>
    <row r="44">
      <c r="A44" s="31" t="inlineStr">
        <is>
          <t>6/10A 1Way 1 Module Switch</t>
        </is>
      </c>
      <c r="B44" s="31" t="inlineStr">
        <is>
          <t>Switch Boards &amp; their components</t>
        </is>
      </c>
      <c r="C44" s="31" t="inlineStr">
        <is>
          <t xml:space="preserve">Replacement of old u/s with new </t>
        </is>
      </c>
    </row>
    <row r="45">
      <c r="A45" s="31" t="inlineStr">
        <is>
          <t>6/10A 1Way 1 Module Switch (Schneider Zen celo)</t>
        </is>
      </c>
      <c r="B45" s="31" t="inlineStr">
        <is>
          <t>Switch Boards &amp; their components</t>
        </is>
      </c>
      <c r="C45" s="31" t="inlineStr">
        <is>
          <t xml:space="preserve">Replacement of old u/s with new </t>
        </is>
      </c>
    </row>
    <row r="46">
      <c r="A46" s="31" t="inlineStr">
        <is>
          <t>6-32A SP MCB</t>
        </is>
      </c>
      <c r="B46" s="31" t="inlineStr">
        <is>
          <t>DBs &amp; their components</t>
        </is>
      </c>
      <c r="C46" s="31" t="inlineStr">
        <is>
          <t xml:space="preserve">Replacement of old u/s with new </t>
        </is>
      </c>
    </row>
    <row r="47">
      <c r="A47" s="31" t="inlineStr">
        <is>
          <t>63A FP Isolator</t>
        </is>
      </c>
      <c r="B47" s="31" t="inlineStr">
        <is>
          <t>DBs &amp; their components</t>
        </is>
      </c>
      <c r="C47" s="31" t="inlineStr">
        <is>
          <t xml:space="preserve">Replacement of old u/s with new </t>
        </is>
      </c>
    </row>
    <row r="48">
      <c r="A48" s="31" t="inlineStr">
        <is>
          <t>6A 1 Way flush type Bed Switch / Bell Push</t>
        </is>
      </c>
      <c r="B48" s="31" t="inlineStr">
        <is>
          <t>Switch Boards &amp; their components</t>
        </is>
      </c>
      <c r="C48" s="31" t="inlineStr">
        <is>
          <t xml:space="preserve">Replacement of old u/s with new </t>
        </is>
      </c>
    </row>
    <row r="49">
      <c r="A49" s="31" t="inlineStr">
        <is>
          <t>6A 1 Way flush type Swich</t>
        </is>
      </c>
      <c r="B49" s="31" t="inlineStr">
        <is>
          <t>Switch Boards &amp; their components</t>
        </is>
      </c>
      <c r="C49" s="31" t="inlineStr">
        <is>
          <t xml:space="preserve">Replacement of old u/s with new </t>
        </is>
      </c>
    </row>
    <row r="50">
      <c r="A50" s="31" t="inlineStr">
        <is>
          <t>6A 3/2 pin flush type Socket</t>
        </is>
      </c>
      <c r="B50" s="31" t="inlineStr">
        <is>
          <t>Switch Boards &amp; their components</t>
        </is>
      </c>
      <c r="C50" s="31" t="inlineStr">
        <is>
          <t xml:space="preserve">Replacement of old u/s with new </t>
        </is>
      </c>
    </row>
    <row r="51">
      <c r="A51" s="31" t="inlineStr">
        <is>
          <t>6sqmm WPTC Aluminium wire</t>
        </is>
      </c>
      <c r="B51" s="31" t="inlineStr">
        <is>
          <t>Flat Cables</t>
        </is>
      </c>
      <c r="C51" s="31" t="inlineStr">
        <is>
          <t>Rewiring with new</t>
        </is>
      </c>
    </row>
    <row r="52">
      <c r="A52" s="31" t="inlineStr">
        <is>
          <t>7.0W LED Bulb</t>
        </is>
      </c>
      <c r="B52" s="31" t="inlineStr">
        <is>
          <t>Lighting Fixtures</t>
        </is>
      </c>
      <c r="C52" s="31" t="inlineStr">
        <is>
          <t xml:space="preserve">Replacement of old u/s with new </t>
        </is>
      </c>
    </row>
    <row r="53">
      <c r="A53" s="31" t="inlineStr">
        <is>
          <t>8 or 9 Modular Cover Frame</t>
        </is>
      </c>
      <c r="B53" s="31" t="inlineStr">
        <is>
          <t>Switch Boards &amp; their components</t>
        </is>
      </c>
      <c r="C53" s="31" t="inlineStr">
        <is>
          <t xml:space="preserve">Replacement of old u/s with new </t>
        </is>
      </c>
    </row>
    <row r="54">
      <c r="A54" s="31" t="inlineStr">
        <is>
          <t>8 OR 9Surface Mounted PVC Modular Gang Box</t>
        </is>
      </c>
      <c r="B54" s="31" t="inlineStr">
        <is>
          <t>Switch Boards &amp; their components</t>
        </is>
      </c>
      <c r="C54" s="31" t="inlineStr">
        <is>
          <t xml:space="preserve">Replacement of old u/s with new </t>
        </is>
      </c>
    </row>
    <row r="55">
      <c r="A55" s="31" t="inlineStr">
        <is>
          <t>BH / SBH</t>
        </is>
      </c>
      <c r="B55" s="31" t="inlineStr">
        <is>
          <t>Lighting Fixtures</t>
        </is>
      </c>
      <c r="C55" s="31" t="inlineStr">
        <is>
          <t xml:space="preserve">Replacement of old u/s with new </t>
        </is>
      </c>
    </row>
    <row r="56">
      <c r="A56" s="31" t="inlineStr">
        <is>
          <t>BLDC 30 W Wall mounted Fan</t>
        </is>
      </c>
      <c r="B56" s="31" t="inlineStr">
        <is>
          <t>Fans &amp; their Accessories</t>
        </is>
      </c>
      <c r="C56" s="31" t="inlineStr">
        <is>
          <t xml:space="preserve">Replacement of old u/s with new </t>
        </is>
      </c>
    </row>
    <row r="57">
      <c r="A57" s="31" t="inlineStr">
        <is>
          <t>BLDC 32 W Pedestal Fan</t>
        </is>
      </c>
      <c r="B57" s="31" t="inlineStr">
        <is>
          <t>Fans &amp; their Accessories</t>
        </is>
      </c>
      <c r="C57" s="31" t="inlineStr">
        <is>
          <t xml:space="preserve">Replacement of old u/s with new </t>
        </is>
      </c>
    </row>
    <row r="58">
      <c r="A58" s="31" t="inlineStr">
        <is>
          <t>Buzzer</t>
        </is>
      </c>
      <c r="B58" s="31" t="inlineStr">
        <is>
          <t>Bells</t>
        </is>
      </c>
      <c r="C58" s="31" t="inlineStr">
        <is>
          <t xml:space="preserve">Replacement of old u/s with new </t>
        </is>
      </c>
    </row>
    <row r="59">
      <c r="A59" s="31" t="inlineStr">
        <is>
          <t>Capacitor for fans</t>
        </is>
      </c>
      <c r="B59" s="31" t="inlineStr">
        <is>
          <t>Fans &amp; their Accessories</t>
        </is>
      </c>
      <c r="C59" s="31" t="inlineStr">
        <is>
          <t xml:space="preserve">Replacement of old u/s with new </t>
        </is>
      </c>
    </row>
    <row r="60">
      <c r="A60" s="31" t="inlineStr">
        <is>
          <t>Ding Dong Bell</t>
        </is>
      </c>
      <c r="B60" s="31" t="inlineStr">
        <is>
          <t>Bells</t>
        </is>
      </c>
      <c r="C60" s="31" t="inlineStr">
        <is>
          <t xml:space="preserve">Replacement of old u/s with new </t>
        </is>
      </c>
    </row>
    <row r="61">
      <c r="A61" s="31" t="inlineStr">
        <is>
          <t>Electronic Fan Regulator</t>
        </is>
      </c>
      <c r="B61" s="31" t="inlineStr">
        <is>
          <t>Fans &amp; their Accessories</t>
        </is>
      </c>
      <c r="C61" s="31" t="inlineStr">
        <is>
          <t xml:space="preserve">Replacement of old u/s with new </t>
        </is>
      </c>
    </row>
    <row r="62">
      <c r="A62" s="31" t="inlineStr">
        <is>
          <t>Flush Stepped type Electronic Regulator</t>
        </is>
      </c>
      <c r="B62" s="31" t="inlineStr">
        <is>
          <t>Fans &amp; their Accessories</t>
        </is>
      </c>
      <c r="C62" s="31" t="inlineStr">
        <is>
          <t xml:space="preserve">Replacement of old u/s with new </t>
        </is>
      </c>
    </row>
    <row r="63">
      <c r="A63" s="31" t="inlineStr">
        <is>
          <t>LED Driver for 90-180WLED street light</t>
        </is>
      </c>
      <c r="B63" s="31" t="inlineStr">
        <is>
          <t>Lighting Fixtures</t>
        </is>
      </c>
      <c r="C63" s="31" t="inlineStr">
        <is>
          <t xml:space="preserve">Replacement of old u/s with new </t>
        </is>
      </c>
    </row>
    <row r="64">
      <c r="A64" s="31" t="inlineStr">
        <is>
          <t>LED Driver for LED down lights</t>
        </is>
      </c>
      <c r="B64" s="31" t="inlineStr">
        <is>
          <t>Lighting Fixtures</t>
        </is>
      </c>
      <c r="C64" s="31" t="inlineStr">
        <is>
          <t xml:space="preserve">Replacement of old u/s with new </t>
        </is>
      </c>
    </row>
    <row r="65">
      <c r="A65" s="31" t="inlineStr">
        <is>
          <t>Pendent Holder</t>
        </is>
      </c>
      <c r="B65" s="31" t="inlineStr">
        <is>
          <t>Lighting Fixtures</t>
        </is>
      </c>
      <c r="C65" s="31" t="inlineStr">
        <is>
          <t xml:space="preserve">Replacement of old u/s with new </t>
        </is>
      </c>
    </row>
    <row r="66">
      <c r="A66" s="31" t="inlineStr">
        <is>
          <t>PVC / Cotton Insulation tape Role</t>
        </is>
      </c>
      <c r="B66" s="31" t="inlineStr">
        <is>
          <t>Tools &amp; Equipment</t>
        </is>
      </c>
      <c r="C66" s="31" t="n"/>
    </row>
    <row r="67">
      <c r="A67" s="31" t="inlineStr">
        <is>
          <t>Rewinding of motor of 1200mm / 1400mm ceiling Fan</t>
        </is>
      </c>
      <c r="B67" s="31" t="inlineStr">
        <is>
          <t>Fans &amp; their Accessories</t>
        </is>
      </c>
      <c r="C67" s="31" t="inlineStr">
        <is>
          <t xml:space="preserve">Replacement of old u/s with new </t>
        </is>
      </c>
    </row>
    <row r="68">
      <c r="A68" s="31" t="inlineStr">
        <is>
          <t>Semi Skilled Electrican / Helper Salary</t>
        </is>
      </c>
      <c r="B68" s="31" t="inlineStr">
        <is>
          <t>Technicians Salary</t>
        </is>
      </c>
      <c r="C68" s="31" t="n"/>
    </row>
    <row r="69">
      <c r="A69" s="31" t="inlineStr">
        <is>
          <t>Skilled Electrican Salary</t>
        </is>
      </c>
      <c r="B69" s="31" t="inlineStr">
        <is>
          <t>Technicians Salary</t>
        </is>
      </c>
      <c r="C69" s="3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2015-06-05T18:17:20Z</dcterms:created>
  <dcterms:modified xmlns:dcterms="http://purl.org/dc/terms/" xmlns:xsi="http://www.w3.org/2001/XMLSchema-instance" xsi:type="dcterms:W3CDTF">2026-05-03T13:08:51Z</dcterms:modified>
  <cp:lastModifiedBy>HP</cp:lastModifiedBy>
</cp:coreProperties>
</file>